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RF SSCA\DORF IV\Detailed Audit\Douments Downloaded\32AAALT1623J1Z7_THRISSUR CORPORATION ELECTRICITY DEPARTMENT\data for upload\"/>
    </mc:Choice>
  </mc:AlternateContent>
  <xr:revisionPtr revIDLastSave="0" documentId="13_ncr:1_{69B84485-6A3B-4587-9D24-CFD544BB34A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GSTR-1 Summary (12M)" sheetId="1" r:id="rId1"/>
    <sheet name="GSTR-2B Summary (12M)" sheetId="2" r:id="rId2"/>
    <sheet name="GSTR-3B Summary (12M)" sheetId="3" r:id="rId3"/>
    <sheet name="Summary_GSTR 9_2024-25" sheetId="4" r:id="rId4"/>
    <sheet name="Summary_GSTR 9_2023-24" sheetId="5" r:id="rId5"/>
    <sheet name="1. ITC Supplier Recon" sheetId="6" r:id="rId6"/>
    <sheet name="2. ITC Reclaim Audit" sheetId="7" r:id="rId7"/>
    <sheet name="3. RCM ITC vs Liability" sheetId="8" r:id="rId8"/>
    <sheet name="4. RCM Historical Trail" sheetId="9" r:id="rId9"/>
    <sheet name="5. Negative ITC Discharge" sheetId="10" r:id="rId10"/>
    <sheet name="6. Annual Liability Discharge" sheetId="11" r:id="rId11"/>
    <sheet name="7. B2C Credit Notes Audit" sheetId="12" r:id="rId12"/>
    <sheet name="8. Unregistered Remittance" sheetId="13" r:id="rId13"/>
    <sheet name="9. E-Way Bill vs Liability" sheetId="14" r:id="rId14"/>
    <sheet name="10. Delayed Interest Audit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5" i="1" l="1"/>
  <c r="O36" i="1"/>
  <c r="O37" i="1"/>
  <c r="O38" i="1"/>
  <c r="O39" i="1"/>
  <c r="O34" i="1"/>
</calcChain>
</file>

<file path=xl/sharedStrings.xml><?xml version="1.0" encoding="utf-8"?>
<sst xmlns="http://schemas.openxmlformats.org/spreadsheetml/2006/main" count="681" uniqueCount="175">
  <si>
    <t>HEADING</t>
  </si>
  <si>
    <t>Taxable Value</t>
  </si>
  <si>
    <t>CGST</t>
  </si>
  <si>
    <t>SGST</t>
  </si>
  <si>
    <t>IGST</t>
  </si>
  <si>
    <t>CESS</t>
  </si>
  <si>
    <t>F.Y. - 2024-25</t>
  </si>
  <si>
    <t>Date of Filing - 0</t>
  </si>
  <si>
    <t>Outward Supply Details</t>
  </si>
  <si>
    <t>4A. Supplies made to un-registered persons (B2C)</t>
  </si>
  <si>
    <t>4B. Supplies made to registered persons (B2B)</t>
  </si>
  <si>
    <t>4C. Zero rated supply (Export) on payment of tax (Except supplies to SEZs)</t>
  </si>
  <si>
    <t>4D. Supplies to SEZs on payment of tax</t>
  </si>
  <si>
    <t>4E. Deemed Exports</t>
  </si>
  <si>
    <t>4F. Advances on which tax has been paid but invoice has not been issued (not covered under (A) to (E) above)</t>
  </si>
  <si>
    <t>4G. Inward supplies on which tax is to be paid on the reverse charge basis</t>
  </si>
  <si>
    <t>4G1. Supplies on which e-commerce operator is required to pay tax as per section 9(5) (including amendments, if any) [E-commerce operator to report]</t>
  </si>
  <si>
    <t>4H. Sub-total (A to G/G1 above)</t>
  </si>
  <si>
    <t>4I. Credit notes issued</t>
  </si>
  <si>
    <t>4J. Debit notes issued</t>
  </si>
  <si>
    <t>4K. Supplies / tax declared through Amendments (+)</t>
  </si>
  <si>
    <t>4L. Supplies / tax reduced through Amendments (-)</t>
  </si>
  <si>
    <t>4M. Sub total (I to L above)</t>
  </si>
  <si>
    <t>4N. Supplies and advances on which tax is to be paid (H + M) above</t>
  </si>
  <si>
    <t>5M. Turnover on which tax is not to be paid (G + L above)</t>
  </si>
  <si>
    <t>5N. Total Turnover (including advances) (4N + 5M - 4G - 4G1 above)</t>
  </si>
  <si>
    <t>Inward Supply Details (ITC Availed)</t>
  </si>
  <si>
    <t>6A. Total amount of input tax credit availed through FORM GSTR-3B (sum total of Table 4A of FORM GSTR-3B)</t>
  </si>
  <si>
    <t>6B. Inward supplies (other than imports and inward supplies liable to reverse charge but includes services received from SEZs) - Inputs</t>
  </si>
  <si>
    <t>6B. Inward supplies (other than imports and inward supplies liable to reverse charge but includes services received from SEZs) - Capital Goods</t>
  </si>
  <si>
    <t>6B. Inward supplies (other than imports and inward supplies liable to reverse charge but includes services received from SEZs) - Input Services</t>
  </si>
  <si>
    <t>6C. Inward supplies received from unregistered persons liable to reverse charge (other than B above) on which tax is paid &amp; ITC availed - Inputs</t>
  </si>
  <si>
    <t>6C. Inward supplies received from unregistered persons liable to reverse charge (other than B above) on which tax is paid &amp; ITC availed - Capital Goods</t>
  </si>
  <si>
    <t>6C. Inward supplies received from unregistered persons liable to reverse charge (other than B above) on which tax is paid &amp; ITC availed - Input Services</t>
  </si>
  <si>
    <t>6D. Inward supplies received from registered persons liable to reverse charge (other than B above) on which tax is paid and ITC availed - Inputs</t>
  </si>
  <si>
    <t>6D. Inward supplies received from registered persons liable to reverse charge (other than B above) on which tax is paid and ITC availed - Capital Goods</t>
  </si>
  <si>
    <t>6D. Inward supplies received from registered persons liable to reverse charge (other than B above) on which tax is paid and ITC availed - Input Services</t>
  </si>
  <si>
    <t>6E. Import of goods (including supplies from SEZs) - Inputs</t>
  </si>
  <si>
    <t>6E. Import of goods (including supplies from SEZs) - Capital Goods</t>
  </si>
  <si>
    <t>6F. Import of services (excluding inward supplies from SEZs)</t>
  </si>
  <si>
    <t>6G. Input Tax credit received from ISD</t>
  </si>
  <si>
    <t>6H. Amount of ITC reclaimed (other than B above) under the provisions of the Act</t>
  </si>
  <si>
    <t>6I. Sub-total (B to H above)</t>
  </si>
  <si>
    <t>6J. Difference (I - A above)</t>
  </si>
  <si>
    <t>6N. Sub-total (K to M  above)</t>
  </si>
  <si>
    <t>60. Total ITC availed (I + N above)</t>
  </si>
  <si>
    <t>7I. Total ITC Reversed (Sum of A to H above)</t>
  </si>
  <si>
    <t>7J. Net ITC Available for Utilization (6O - 7I)</t>
  </si>
  <si>
    <t>Please do not use System Computed GSTR-9 as it has no legal validity. Only use Filed GSTR-9 or do not upload it.</t>
  </si>
  <si>
    <t>Table Section</t>
  </si>
  <si>
    <t>Details / Field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</si>
  <si>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</si>
  <si>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</si>
  <si>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</si>
  <si>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</si>
  <si>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</si>
  <si>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</si>
  <si>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</si>
  <si>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</si>
  <si>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</si>
  <si>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</si>
  <si>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</si>
  <si>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</si>
  <si>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FY TOTAL</t>
  </si>
  <si>
    <t>4A - B2B Regular</t>
  </si>
  <si>
    <t>Cess</t>
  </si>
  <si>
    <t>4B - B2B Reverse Charge</t>
  </si>
  <si>
    <t>5 - B2CL (Large)</t>
  </si>
  <si>
    <t>6A - Exports</t>
  </si>
  <si>
    <t>Value</t>
  </si>
  <si>
    <t>6B - SEZ Supplies</t>
  </si>
  <si>
    <t>6C - Deemed Exports</t>
  </si>
  <si>
    <t>7 - B2CS (Others)</t>
  </si>
  <si>
    <t>Net Value</t>
  </si>
  <si>
    <t>8 - Nil Rated, Exempted &amp; Non-GST</t>
  </si>
  <si>
    <t>Nil Rated Value</t>
  </si>
  <si>
    <t>Exempted Value</t>
  </si>
  <si>
    <t>Non-GST Value</t>
  </si>
  <si>
    <t>Total Liability (Outward supplies other than Reverse charge)</t>
  </si>
  <si>
    <t>3. ITC Available - Part A (All Other ITC - 4(A)(5))</t>
  </si>
  <si>
    <t>Integrated Tax (IGST)</t>
  </si>
  <si>
    <t>Central Tax (CGST)</t>
  </si>
  <si>
    <t>State/UT Tax (SGST)</t>
  </si>
  <si>
    <t>3. ITC Available - Part B (Credit Notes - Others 4(A))</t>
  </si>
  <si>
    <t>4. ITC Not Available - Part A (All Other ITC - 4(D)(2))</t>
  </si>
  <si>
    <t>6. ITC Rejected - Part A (IMS Rejected)</t>
  </si>
  <si>
    <t>3.1 (a) Outward taxable supplies (other than zero rated, nil rated and exempted)</t>
  </si>
  <si>
    <t>3.1 (b) Outward taxable supplies (zero rated)</t>
  </si>
  <si>
    <t>3.1 (c) Other outward supplies (Nil rated, exempted)</t>
  </si>
  <si>
    <t>3.1 (d) Inward supplies (liable to reverse charge)</t>
  </si>
  <si>
    <t>3.1 (e) Non-GST outward supplies</t>
  </si>
  <si>
    <t>4 (A) ITC Available - (1) Import of goods</t>
  </si>
  <si>
    <t>4 (A) ITC Available - (2) Import of services</t>
  </si>
  <si>
    <t>4 (A) ITC Available - (3) Inward supplies liable to reverse charge</t>
  </si>
  <si>
    <t>4 (A) ITC Available - (4) Inward supplies from ISD</t>
  </si>
  <si>
    <t>4 (A) ITC Available - (5) All other ITC</t>
  </si>
  <si>
    <t>4 (B) ITC Reversed - (1) As per rules 38,42 &amp; 43 of CGST Rules and section 17(5)</t>
  </si>
  <si>
    <t>4 (B) ITC Reversed - (2) Others</t>
  </si>
  <si>
    <t>4 (C) Net ITC Available (4A - 4B)</t>
  </si>
  <si>
    <t>5.1 Interest and Late fee - System Computed / Declared</t>
  </si>
  <si>
    <t>5.1 Interest and Late fee - Interest Paid</t>
  </si>
  <si>
    <t>5.1 Interest and Late fee - Late Fee Paid</t>
  </si>
  <si>
    <t>IGST using IGST</t>
  </si>
  <si>
    <t>IGST using CGST</t>
  </si>
  <si>
    <t>IGST using SGST</t>
  </si>
  <si>
    <t>CGST using IGST</t>
  </si>
  <si>
    <t>CGST using CGST</t>
  </si>
  <si>
    <t>SGST using IGST</t>
  </si>
  <si>
    <t>SGST using SGST</t>
  </si>
  <si>
    <t>CESS using CESS</t>
  </si>
  <si>
    <t>IGST Interest</t>
  </si>
  <si>
    <t>CGST Interest</t>
  </si>
  <si>
    <t>SGST Interest</t>
  </si>
  <si>
    <t>CESS Interest</t>
  </si>
  <si>
    <t>Filing Metadata</t>
  </si>
  <si>
    <t>3B Due Date</t>
  </si>
  <si>
    <t>20/05/2024</t>
  </si>
  <si>
    <t>20/06/2024</t>
  </si>
  <si>
    <t>20/07/2024</t>
  </si>
  <si>
    <t>20/08/2024</t>
  </si>
  <si>
    <t>20/09/2024</t>
  </si>
  <si>
    <t>20/10/2024</t>
  </si>
  <si>
    <t>20/11/2024</t>
  </si>
  <si>
    <t>20/12/2024</t>
  </si>
  <si>
    <t>20/01/2025</t>
  </si>
  <si>
    <t>20/02/2025</t>
  </si>
  <si>
    <t>20/03/2025</t>
  </si>
  <si>
    <t>20/04/2025</t>
  </si>
  <si>
    <t>3B Filing Date</t>
  </si>
  <si>
    <t>18/05/2024</t>
  </si>
  <si>
    <t>19/10/2024</t>
  </si>
  <si>
    <t>19/11/2024</t>
  </si>
  <si>
    <t>17/12/2024</t>
  </si>
  <si>
    <t>21/01/2025</t>
  </si>
  <si>
    <t>18/03/2025</t>
  </si>
  <si>
    <t>19/04/2025</t>
  </si>
  <si>
    <t>No. of days late</t>
  </si>
  <si>
    <t>Period</t>
  </si>
  <si>
    <t>GSTR-3B ITC Availed (4A5)</t>
  </si>
  <si>
    <t>GSTR-2B ITC Available (4A5)</t>
  </si>
  <si>
    <t>Excess Availment Deviation</t>
  </si>
  <si>
    <t>Risk Status</t>
  </si>
  <si>
    <t>Satisfactory</t>
  </si>
  <si>
    <t>Reclaimed ITC (Table 4D1)</t>
  </si>
  <si>
    <t>Reversals Declared</t>
  </si>
  <si>
    <t>Deviation</t>
  </si>
  <si>
    <t>Status</t>
  </si>
  <si>
    <t>Clean</t>
  </si>
  <si>
    <t>RCM ITC Availed (3B 4A3)</t>
  </si>
  <si>
    <t>RCM Liability (3.1d)</t>
  </si>
  <si>
    <t>Historical RCM Trail</t>
  </si>
  <si>
    <t>Opening Balance</t>
  </si>
  <si>
    <t>Negative ITC</t>
  </si>
  <si>
    <t>ECL Cash Discharge</t>
  </si>
  <si>
    <t>Financial Year</t>
  </si>
  <si>
    <t>Tax Payable GSTR-9</t>
  </si>
  <si>
    <t>Tax Paid Cash + ITC</t>
  </si>
  <si>
    <t>2024-25</t>
  </si>
  <si>
    <t>B2C Credit Note Value</t>
  </si>
  <si>
    <t>Tax Impact</t>
  </si>
  <si>
    <t>Unregistered Supplies</t>
  </si>
  <si>
    <t>Tax Remitted</t>
  </si>
  <si>
    <t>GSTR-3B Tax Liability</t>
  </si>
  <si>
    <t>E-Way Bill Clearances</t>
  </si>
  <si>
    <t>Days Delayed</t>
  </si>
  <si>
    <t>Net Cash Tax Paid</t>
  </si>
  <si>
    <t>Interest Payable (18%)</t>
  </si>
  <si>
    <t>6.1 Payment of tax - Interest paid in Cash</t>
  </si>
  <si>
    <t>6.1 Payment of tax  (A) Other than reverse charge - Using ITC</t>
  </si>
  <si>
    <t>6.1 Payment of tax (A) Other than reverse charge - Tax paid in cash</t>
  </si>
  <si>
    <t>6.1 Payment of tax (B) Reverse charge - Tax paid in cash</t>
  </si>
  <si>
    <t>IGST Interest Payable</t>
  </si>
  <si>
    <t>CGST Interest Payable</t>
  </si>
  <si>
    <t>SGST Interest Payable</t>
  </si>
  <si>
    <t>CESS Interest 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</si>
</sst>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0"/>
  <sheetViews>
    <sheetView topLeftCell="A22" workbookViewId="0">
      <selection activeCell="P36" sqref="P36"/>
    </sheetView>
  </sheetViews>
  <sheetFormatPr defaultRowHeight="14.4" x14ac:dyDescent="0.3"/>
  <cols>
    <col min="1" max="1" width="50.33203125" bestFit="1" customWidth="1"/>
    <col min="2" max="2" width="14.21875" bestFit="1" customWidth="1"/>
    <col min="15" max="15" width="11" bestFit="1" customWidth="1"/>
  </cols>
  <sheetData>
    <row r="1" spans="1:15" x14ac:dyDescent="0.3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</row>
    <row r="2" spans="1:15" x14ac:dyDescent="0.3">
      <c r="A2" t="s">
        <v>64</v>
      </c>
      <c r="B2" t="s">
        <v>1</v>
      </c>
      <c r="C2">
        <v>83124</v>
      </c>
      <c r="D2">
        <v>556511</v>
      </c>
      <c r="E2">
        <v>70054</v>
      </c>
      <c r="F2">
        <v>5193</v>
      </c>
      <c r="G2">
        <v>183929</v>
      </c>
      <c r="H2">
        <v>10103</v>
      </c>
      <c r="I2">
        <v>16919</v>
      </c>
      <c r="J2">
        <v>2685053</v>
      </c>
      <c r="K2">
        <v>500</v>
      </c>
      <c r="L2">
        <v>262738</v>
      </c>
      <c r="M2">
        <v>493949</v>
      </c>
      <c r="N2">
        <v>286748</v>
      </c>
      <c r="O2">
        <v>4654821</v>
      </c>
    </row>
    <row r="3" spans="1:15" x14ac:dyDescent="0.3">
      <c r="A3" t="s">
        <v>64</v>
      </c>
      <c r="B3" t="s">
        <v>4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15" x14ac:dyDescent="0.3">
      <c r="A4" t="s">
        <v>64</v>
      </c>
      <c r="B4" t="s">
        <v>2</v>
      </c>
      <c r="C4">
        <v>7481.16</v>
      </c>
      <c r="D4">
        <v>50031.99</v>
      </c>
      <c r="E4">
        <v>6304.86</v>
      </c>
      <c r="F4">
        <v>467.37</v>
      </c>
      <c r="G4">
        <v>16529.61</v>
      </c>
      <c r="H4">
        <v>885.27</v>
      </c>
      <c r="I4">
        <v>1522.71</v>
      </c>
      <c r="J4">
        <v>241627.77</v>
      </c>
      <c r="K4">
        <v>30</v>
      </c>
      <c r="L4">
        <v>23646.42</v>
      </c>
      <c r="M4">
        <v>44455.41</v>
      </c>
      <c r="N4">
        <v>25807.32</v>
      </c>
      <c r="O4">
        <v>418789.89</v>
      </c>
    </row>
    <row r="5" spans="1:15" x14ac:dyDescent="0.3">
      <c r="A5" t="s">
        <v>64</v>
      </c>
      <c r="B5" t="s">
        <v>3</v>
      </c>
      <c r="C5">
        <v>7481.16</v>
      </c>
      <c r="D5">
        <v>50031.99</v>
      </c>
      <c r="E5">
        <v>6304.86</v>
      </c>
      <c r="F5">
        <v>467.37</v>
      </c>
      <c r="G5">
        <v>16529.61</v>
      </c>
      <c r="H5">
        <v>885.27</v>
      </c>
      <c r="I5">
        <v>1522.71</v>
      </c>
      <c r="J5">
        <v>241627.77</v>
      </c>
      <c r="K5">
        <v>30</v>
      </c>
      <c r="L5">
        <v>23646.42</v>
      </c>
      <c r="M5">
        <v>44455.41</v>
      </c>
      <c r="N5">
        <v>25807.32</v>
      </c>
      <c r="O5">
        <v>418789.89</v>
      </c>
    </row>
    <row r="6" spans="1:15" x14ac:dyDescent="0.3">
      <c r="A6" t="s">
        <v>64</v>
      </c>
      <c r="B6" t="s">
        <v>65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3">
      <c r="A7" t="s">
        <v>66</v>
      </c>
      <c r="B7" t="s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 x14ac:dyDescent="0.3">
      <c r="A8" t="s">
        <v>66</v>
      </c>
      <c r="B8" t="s">
        <v>4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3">
      <c r="A9" t="s">
        <v>66</v>
      </c>
      <c r="B9" t="s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 x14ac:dyDescent="0.3">
      <c r="A10" t="s">
        <v>66</v>
      </c>
      <c r="B10" t="s">
        <v>3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3">
      <c r="A11" t="s">
        <v>66</v>
      </c>
      <c r="B11" t="s">
        <v>65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3">
      <c r="A12" t="s">
        <v>67</v>
      </c>
      <c r="B12" t="s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3">
      <c r="A13" t="s">
        <v>67</v>
      </c>
      <c r="B13" t="s">
        <v>4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3">
      <c r="A14" t="s">
        <v>67</v>
      </c>
      <c r="B14" t="s">
        <v>65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3">
      <c r="A15" t="s">
        <v>68</v>
      </c>
      <c r="B15" t="s">
        <v>69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3">
      <c r="A16" t="s">
        <v>68</v>
      </c>
      <c r="B16" t="s">
        <v>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3">
      <c r="A17" t="s">
        <v>68</v>
      </c>
      <c r="B17" t="s">
        <v>65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3">
      <c r="A18" t="s">
        <v>70</v>
      </c>
      <c r="B18" t="s">
        <v>69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3">
      <c r="A19" t="s">
        <v>70</v>
      </c>
      <c r="B19" t="s">
        <v>4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3">
      <c r="A20" t="s">
        <v>70</v>
      </c>
      <c r="B20" t="s">
        <v>2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 x14ac:dyDescent="0.3">
      <c r="A21" t="s">
        <v>70</v>
      </c>
      <c r="B21" t="s">
        <v>3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 x14ac:dyDescent="0.3">
      <c r="A22" t="s">
        <v>70</v>
      </c>
      <c r="B22" t="s">
        <v>65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3">
      <c r="A23" t="s">
        <v>71</v>
      </c>
      <c r="B23" t="s">
        <v>69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3">
      <c r="A24" t="s">
        <v>71</v>
      </c>
      <c r="B24" t="s">
        <v>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3">
      <c r="A25" t="s">
        <v>71</v>
      </c>
      <c r="B25" t="s">
        <v>2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3">
      <c r="A26" t="s">
        <v>71</v>
      </c>
      <c r="B26" t="s">
        <v>3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 x14ac:dyDescent="0.3">
      <c r="A27" t="s">
        <v>71</v>
      </c>
      <c r="B27" t="s">
        <v>65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 x14ac:dyDescent="0.3">
      <c r="A28" t="s">
        <v>72</v>
      </c>
      <c r="B28" t="s">
        <v>73</v>
      </c>
      <c r="C28">
        <v>1204020</v>
      </c>
      <c r="D28">
        <v>1216327</v>
      </c>
      <c r="E28">
        <v>926787</v>
      </c>
      <c r="F28">
        <v>973238</v>
      </c>
      <c r="G28">
        <v>1400104</v>
      </c>
      <c r="H28">
        <v>1115098</v>
      </c>
      <c r="I28">
        <v>771245</v>
      </c>
      <c r="J28">
        <v>457371</v>
      </c>
      <c r="K28">
        <v>206680</v>
      </c>
      <c r="L28">
        <v>326700</v>
      </c>
      <c r="M28">
        <v>349190</v>
      </c>
      <c r="N28">
        <v>6136314</v>
      </c>
      <c r="O28">
        <v>15083074</v>
      </c>
    </row>
    <row r="29" spans="1:15" x14ac:dyDescent="0.3">
      <c r="A29" t="s">
        <v>72</v>
      </c>
      <c r="B29" t="s">
        <v>4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3">
      <c r="A30" t="s">
        <v>72</v>
      </c>
      <c r="B30" t="s">
        <v>2</v>
      </c>
      <c r="C30">
        <v>107787.3</v>
      </c>
      <c r="D30">
        <v>108999.93</v>
      </c>
      <c r="E30">
        <v>83260.83</v>
      </c>
      <c r="F30">
        <v>87513.42</v>
      </c>
      <c r="G30">
        <v>125565.36</v>
      </c>
      <c r="H30">
        <v>98240.82</v>
      </c>
      <c r="I30">
        <v>67945.05</v>
      </c>
      <c r="J30">
        <v>40755.39</v>
      </c>
      <c r="K30">
        <v>18340.8</v>
      </c>
      <c r="L30">
        <v>29244</v>
      </c>
      <c r="M30">
        <v>29264.400000000001</v>
      </c>
      <c r="N30">
        <v>550318.26</v>
      </c>
      <c r="O30">
        <v>1347235.56</v>
      </c>
    </row>
    <row r="31" spans="1:15" x14ac:dyDescent="0.3">
      <c r="A31" t="s">
        <v>72</v>
      </c>
      <c r="B31" t="s">
        <v>3</v>
      </c>
      <c r="C31">
        <v>107787.3</v>
      </c>
      <c r="D31">
        <v>108999.93</v>
      </c>
      <c r="E31">
        <v>83260.83</v>
      </c>
      <c r="F31">
        <v>87513.42</v>
      </c>
      <c r="G31">
        <v>125565.36</v>
      </c>
      <c r="H31">
        <v>98240.82</v>
      </c>
      <c r="I31">
        <v>67945.05</v>
      </c>
      <c r="J31">
        <v>40755.39</v>
      </c>
      <c r="K31">
        <v>18340.8</v>
      </c>
      <c r="L31">
        <v>29244</v>
      </c>
      <c r="M31">
        <v>29264.400000000001</v>
      </c>
      <c r="N31">
        <v>550318.26</v>
      </c>
      <c r="O31">
        <v>1347235.56</v>
      </c>
    </row>
    <row r="32" spans="1:15" x14ac:dyDescent="0.3">
      <c r="A32" t="s">
        <v>72</v>
      </c>
      <c r="B32" t="s">
        <v>65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 x14ac:dyDescent="0.3">
      <c r="A33" t="s">
        <v>74</v>
      </c>
      <c r="B33" t="s">
        <v>75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 x14ac:dyDescent="0.3">
      <c r="A34" t="s">
        <v>74</v>
      </c>
      <c r="B34" t="s">
        <v>76</v>
      </c>
      <c r="C34">
        <v>124091277.62</v>
      </c>
      <c r="D34">
        <v>134070184.28</v>
      </c>
      <c r="E34">
        <v>122914312.92</v>
      </c>
      <c r="F34">
        <v>98178092.510000005</v>
      </c>
      <c r="G34">
        <v>95217562.040000007</v>
      </c>
      <c r="H34">
        <v>100583398.78</v>
      </c>
      <c r="I34">
        <v>102277268.7</v>
      </c>
      <c r="J34">
        <v>102051510.23999999</v>
      </c>
      <c r="K34">
        <v>107094687.53</v>
      </c>
      <c r="L34">
        <v>103823515.61</v>
      </c>
      <c r="M34">
        <v>105925700.7</v>
      </c>
      <c r="N34">
        <v>104385276.87</v>
      </c>
      <c r="O34">
        <f>SUM(C34:N34)</f>
        <v>1300612787.8000002</v>
      </c>
    </row>
    <row r="35" spans="1:15" x14ac:dyDescent="0.3">
      <c r="A35" t="s">
        <v>74</v>
      </c>
      <c r="B35" t="s">
        <v>77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f t="shared" ref="O35:O39" si="0">SUM(C35:N35)</f>
        <v>0</v>
      </c>
    </row>
    <row r="36" spans="1:15" x14ac:dyDescent="0.3">
      <c r="A36" t="s">
        <v>78</v>
      </c>
      <c r="B36" t="s">
        <v>1</v>
      </c>
      <c r="C36">
        <v>125378421.62</v>
      </c>
      <c r="D36">
        <v>135843022.28</v>
      </c>
      <c r="E36">
        <v>123911153.92</v>
      </c>
      <c r="F36">
        <v>99153130.510000005</v>
      </c>
      <c r="G36">
        <v>96672145.040000007</v>
      </c>
      <c r="H36">
        <v>101708599.78</v>
      </c>
      <c r="I36">
        <v>103065432.7</v>
      </c>
      <c r="J36">
        <v>105193934.23999999</v>
      </c>
      <c r="K36">
        <v>107301867.53</v>
      </c>
      <c r="L36">
        <v>104412953.61</v>
      </c>
      <c r="M36">
        <v>106768839.7</v>
      </c>
      <c r="N36">
        <v>110808338.87</v>
      </c>
      <c r="O36">
        <f t="shared" si="0"/>
        <v>1320217839.8000002</v>
      </c>
    </row>
    <row r="37" spans="1:15" x14ac:dyDescent="0.3">
      <c r="A37" t="s">
        <v>78</v>
      </c>
      <c r="B37" t="s">
        <v>4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f t="shared" si="0"/>
        <v>0</v>
      </c>
    </row>
    <row r="38" spans="1:15" x14ac:dyDescent="0.3">
      <c r="A38" t="s">
        <v>78</v>
      </c>
      <c r="B38" t="s">
        <v>2</v>
      </c>
      <c r="C38">
        <v>115268.46</v>
      </c>
      <c r="D38">
        <v>159031.92000000001</v>
      </c>
      <c r="E38">
        <v>89565.69</v>
      </c>
      <c r="F38">
        <v>87675.42</v>
      </c>
      <c r="G38">
        <v>130444.47</v>
      </c>
      <c r="H38">
        <v>99126.09</v>
      </c>
      <c r="I38">
        <v>69467.759999999995</v>
      </c>
      <c r="J38">
        <v>282383.15999999997</v>
      </c>
      <c r="K38">
        <v>18370.8</v>
      </c>
      <c r="L38">
        <v>52890.42</v>
      </c>
      <c r="M38">
        <v>73719.81</v>
      </c>
      <c r="N38">
        <v>576125.57999999996</v>
      </c>
      <c r="O38">
        <f t="shared" si="0"/>
        <v>1754069.58</v>
      </c>
    </row>
    <row r="39" spans="1:15" x14ac:dyDescent="0.3">
      <c r="A39" t="s">
        <v>78</v>
      </c>
      <c r="B39" t="s">
        <v>3</v>
      </c>
      <c r="C39">
        <v>115268.46</v>
      </c>
      <c r="D39">
        <v>159031.92000000001</v>
      </c>
      <c r="E39">
        <v>89565.69</v>
      </c>
      <c r="F39">
        <v>87675.42</v>
      </c>
      <c r="G39">
        <v>130444.47</v>
      </c>
      <c r="H39">
        <v>99126.09</v>
      </c>
      <c r="I39">
        <v>69467.759999999995</v>
      </c>
      <c r="J39">
        <v>282383.15999999997</v>
      </c>
      <c r="K39">
        <v>18370.8</v>
      </c>
      <c r="L39">
        <v>52890.42</v>
      </c>
      <c r="M39">
        <v>73719.81</v>
      </c>
      <c r="N39">
        <v>576125.57999999996</v>
      </c>
      <c r="O39">
        <f t="shared" si="0"/>
        <v>1754069.58</v>
      </c>
    </row>
    <row r="40" spans="1:15" x14ac:dyDescent="0.3">
      <c r="A40" t="s">
        <v>78</v>
      </c>
      <c r="B40" t="s">
        <v>65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7"/>
  <sheetViews>
    <sheetView workbookViewId="0"/>
  </sheetViews>
  <sheetFormatPr defaultRowHeight="14.4" x14ac:dyDescent="0.3"/>
  <sheetData>
    <row r="1" spans="1:15" x14ac:dyDescent="0.3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</row>
    <row r="2" spans="1:15" x14ac:dyDescent="0.3">
      <c r="A2" t="s">
        <v>79</v>
      </c>
      <c r="B2" t="s">
        <v>80</v>
      </c>
      <c r="C2">
        <v>58910</v>
      </c>
      <c r="D2">
        <v>443676.96</v>
      </c>
      <c r="E2">
        <v>220746.03</v>
      </c>
      <c r="F2">
        <v>141557.38</v>
      </c>
      <c r="G2">
        <v>525974.43999999994</v>
      </c>
      <c r="H2">
        <v>449994.52</v>
      </c>
      <c r="I2">
        <v>129429.82</v>
      </c>
      <c r="J2">
        <v>522345.6</v>
      </c>
      <c r="K2">
        <v>11177.89</v>
      </c>
      <c r="L2">
        <v>135555.1</v>
      </c>
      <c r="M2">
        <v>7350.96</v>
      </c>
      <c r="N2">
        <v>483794.08</v>
      </c>
      <c r="O2">
        <v>3130512.78</v>
      </c>
    </row>
    <row r="3" spans="1:15" x14ac:dyDescent="0.3">
      <c r="A3" t="s">
        <v>79</v>
      </c>
      <c r="B3" t="s">
        <v>81</v>
      </c>
      <c r="C3">
        <v>204214.57</v>
      </c>
      <c r="D3">
        <v>264319.90000000002</v>
      </c>
      <c r="E3">
        <v>265860.38</v>
      </c>
      <c r="F3">
        <v>149489.91</v>
      </c>
      <c r="G3">
        <v>270003.09000000003</v>
      </c>
      <c r="H3">
        <v>207919.96</v>
      </c>
      <c r="I3">
        <v>291738.76</v>
      </c>
      <c r="J3">
        <v>193015.71</v>
      </c>
      <c r="K3">
        <v>146172.15</v>
      </c>
      <c r="L3">
        <v>658234.63</v>
      </c>
      <c r="M3">
        <v>379629.77</v>
      </c>
      <c r="N3">
        <v>395178.36</v>
      </c>
      <c r="O3">
        <v>3425777.19</v>
      </c>
    </row>
    <row r="4" spans="1:15" x14ac:dyDescent="0.3">
      <c r="A4" t="s">
        <v>79</v>
      </c>
      <c r="B4" t="s">
        <v>82</v>
      </c>
      <c r="C4">
        <v>204214.57</v>
      </c>
      <c r="D4">
        <v>264319.90000000002</v>
      </c>
      <c r="E4">
        <v>265860.38</v>
      </c>
      <c r="F4">
        <v>149489.91</v>
      </c>
      <c r="G4">
        <v>270003.09000000003</v>
      </c>
      <c r="H4">
        <v>207919.96</v>
      </c>
      <c r="I4">
        <v>291738.76</v>
      </c>
      <c r="J4">
        <v>193015.71</v>
      </c>
      <c r="K4">
        <v>146172.15</v>
      </c>
      <c r="L4">
        <v>658234.63</v>
      </c>
      <c r="M4">
        <v>379629.77</v>
      </c>
      <c r="N4">
        <v>395178.36</v>
      </c>
      <c r="O4">
        <v>3425777.19</v>
      </c>
    </row>
    <row r="5" spans="1:15" x14ac:dyDescent="0.3">
      <c r="A5" t="s">
        <v>79</v>
      </c>
      <c r="B5" t="s">
        <v>65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3">
      <c r="A6" t="s">
        <v>83</v>
      </c>
      <c r="B6" t="s">
        <v>80</v>
      </c>
      <c r="C6">
        <v>0</v>
      </c>
      <c r="D6">
        <v>0</v>
      </c>
      <c r="E6">
        <v>0</v>
      </c>
      <c r="F6">
        <v>0</v>
      </c>
      <c r="G6">
        <v>0</v>
      </c>
      <c r="H6">
        <v>453522.16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453522.16</v>
      </c>
    </row>
    <row r="7" spans="1:15" x14ac:dyDescent="0.3">
      <c r="A7" t="s">
        <v>83</v>
      </c>
      <c r="B7" t="s">
        <v>81</v>
      </c>
      <c r="C7">
        <v>0</v>
      </c>
      <c r="D7">
        <v>1664.62</v>
      </c>
      <c r="E7">
        <v>9217.52</v>
      </c>
      <c r="F7">
        <v>0</v>
      </c>
      <c r="G7">
        <v>44352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55234.14</v>
      </c>
    </row>
    <row r="8" spans="1:15" x14ac:dyDescent="0.3">
      <c r="A8" t="s">
        <v>83</v>
      </c>
      <c r="B8" t="s">
        <v>82</v>
      </c>
      <c r="C8">
        <v>0</v>
      </c>
      <c r="D8">
        <v>1664.62</v>
      </c>
      <c r="E8">
        <v>9217.52</v>
      </c>
      <c r="F8">
        <v>0</v>
      </c>
      <c r="G8">
        <v>44352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55234.14</v>
      </c>
    </row>
    <row r="9" spans="1:15" x14ac:dyDescent="0.3">
      <c r="A9" t="s">
        <v>83</v>
      </c>
      <c r="B9" t="s">
        <v>65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 x14ac:dyDescent="0.3">
      <c r="A10" t="s">
        <v>84</v>
      </c>
      <c r="B10" t="s">
        <v>80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3">
      <c r="A11" t="s">
        <v>84</v>
      </c>
      <c r="B11" t="s">
        <v>81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221338.8</v>
      </c>
      <c r="J11">
        <v>0</v>
      </c>
      <c r="K11">
        <v>0</v>
      </c>
      <c r="L11">
        <v>0</v>
      </c>
      <c r="M11">
        <v>0</v>
      </c>
      <c r="N11">
        <v>0</v>
      </c>
      <c r="O11">
        <v>221338.8</v>
      </c>
    </row>
    <row r="12" spans="1:15" x14ac:dyDescent="0.3">
      <c r="A12" t="s">
        <v>84</v>
      </c>
      <c r="B12" t="s">
        <v>82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221338.8</v>
      </c>
      <c r="J12">
        <v>0</v>
      </c>
      <c r="K12">
        <v>0</v>
      </c>
      <c r="L12">
        <v>0</v>
      </c>
      <c r="M12">
        <v>0</v>
      </c>
      <c r="N12">
        <v>0</v>
      </c>
      <c r="O12">
        <v>221338.8</v>
      </c>
    </row>
    <row r="13" spans="1:15" x14ac:dyDescent="0.3">
      <c r="A13" t="s">
        <v>84</v>
      </c>
      <c r="B13" t="s">
        <v>65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3">
      <c r="A14" t="s">
        <v>85</v>
      </c>
      <c r="B14" t="s">
        <v>80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3">
      <c r="A15" t="s">
        <v>85</v>
      </c>
      <c r="B15" t="s">
        <v>81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3">
      <c r="A16" t="s">
        <v>85</v>
      </c>
      <c r="B16" t="s">
        <v>82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3">
      <c r="A17" t="s">
        <v>85</v>
      </c>
      <c r="B17" t="s">
        <v>65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83"/>
  <sheetViews>
    <sheetView workbookViewId="0">
      <selection activeCell="A55" sqref="A55"/>
    </sheetView>
  </sheetViews>
  <sheetFormatPr defaultRowHeight="14.4" x14ac:dyDescent="0.3"/>
  <cols>
    <col min="1" max="1" width="67" bestFit="1" customWidth="1"/>
    <col min="2" max="2" width="14.5546875" bestFit="1" customWidth="1"/>
  </cols>
  <sheetData>
    <row r="1" spans="1:15" x14ac:dyDescent="0.3">
      <c r="A1" s="1" t="s">
        <v>0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</row>
    <row r="2" spans="1:15" x14ac:dyDescent="0.3">
      <c r="A2" t="s">
        <v>86</v>
      </c>
      <c r="B2" t="s">
        <v>1</v>
      </c>
      <c r="C2">
        <v>1287144</v>
      </c>
      <c r="D2">
        <v>1772838</v>
      </c>
      <c r="E2">
        <v>996841</v>
      </c>
      <c r="F2">
        <v>975038</v>
      </c>
      <c r="G2">
        <v>1454583</v>
      </c>
      <c r="H2">
        <v>1125201</v>
      </c>
      <c r="I2">
        <v>788164</v>
      </c>
      <c r="J2">
        <v>3142424</v>
      </c>
      <c r="K2">
        <v>207180</v>
      </c>
      <c r="L2">
        <v>589438</v>
      </c>
      <c r="M2">
        <v>843139</v>
      </c>
      <c r="N2">
        <v>6423062</v>
      </c>
      <c r="O2">
        <v>19605052</v>
      </c>
    </row>
    <row r="3" spans="1:15" x14ac:dyDescent="0.3">
      <c r="A3" t="s">
        <v>86</v>
      </c>
      <c r="B3" t="s">
        <v>4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15" x14ac:dyDescent="0.3">
      <c r="A4" t="s">
        <v>86</v>
      </c>
      <c r="B4" t="s">
        <v>2</v>
      </c>
      <c r="C4">
        <v>115268.46</v>
      </c>
      <c r="D4">
        <v>159031.92000000001</v>
      </c>
      <c r="E4">
        <v>89565.69</v>
      </c>
      <c r="F4">
        <v>87675.42</v>
      </c>
      <c r="G4">
        <v>130444.47</v>
      </c>
      <c r="H4">
        <v>99126.09</v>
      </c>
      <c r="I4">
        <v>69467.759999999995</v>
      </c>
      <c r="J4">
        <v>282383.15999999997</v>
      </c>
      <c r="K4">
        <v>18370.8</v>
      </c>
      <c r="L4">
        <v>52890.42</v>
      </c>
      <c r="M4">
        <v>73719.81</v>
      </c>
      <c r="N4">
        <v>576125.57999999996</v>
      </c>
      <c r="O4">
        <v>1754069.58</v>
      </c>
    </row>
    <row r="5" spans="1:15" x14ac:dyDescent="0.3">
      <c r="A5" t="s">
        <v>86</v>
      </c>
      <c r="B5" t="s">
        <v>3</v>
      </c>
      <c r="C5">
        <v>115268.46</v>
      </c>
      <c r="D5">
        <v>159031.92000000001</v>
      </c>
      <c r="E5">
        <v>89565.69</v>
      </c>
      <c r="F5">
        <v>87675.42</v>
      </c>
      <c r="G5">
        <v>130444.47</v>
      </c>
      <c r="H5">
        <v>99126.09</v>
      </c>
      <c r="I5">
        <v>69467.759999999995</v>
      </c>
      <c r="J5">
        <v>282383.15999999997</v>
      </c>
      <c r="K5">
        <v>18370.8</v>
      </c>
      <c r="L5">
        <v>52890.42</v>
      </c>
      <c r="M5">
        <v>73719.81</v>
      </c>
      <c r="N5">
        <v>576125.57999999996</v>
      </c>
      <c r="O5">
        <v>1754069.58</v>
      </c>
    </row>
    <row r="6" spans="1:15" x14ac:dyDescent="0.3">
      <c r="A6" t="s">
        <v>86</v>
      </c>
      <c r="B6" t="s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3">
      <c r="A7" t="s">
        <v>87</v>
      </c>
      <c r="B7" t="s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 x14ac:dyDescent="0.3">
      <c r="A8" t="s">
        <v>87</v>
      </c>
      <c r="B8" t="s">
        <v>4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3">
      <c r="A9" t="s">
        <v>87</v>
      </c>
      <c r="B9" t="s">
        <v>5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 x14ac:dyDescent="0.3">
      <c r="A10" t="s">
        <v>88</v>
      </c>
      <c r="B10" t="s">
        <v>69</v>
      </c>
      <c r="C10">
        <v>124091277.62</v>
      </c>
      <c r="D10">
        <v>134070184.28</v>
      </c>
      <c r="E10">
        <v>122914312.92</v>
      </c>
      <c r="F10">
        <v>98178092.510000005</v>
      </c>
      <c r="G10">
        <v>95217562.040000007</v>
      </c>
      <c r="H10">
        <v>100583398.78</v>
      </c>
      <c r="I10">
        <v>102277268.7</v>
      </c>
      <c r="J10">
        <v>102051510.23999999</v>
      </c>
      <c r="K10">
        <v>107094687.53</v>
      </c>
      <c r="L10">
        <v>103823515.61</v>
      </c>
      <c r="M10">
        <v>105925700.7</v>
      </c>
      <c r="N10">
        <v>104385276.87</v>
      </c>
      <c r="O10">
        <v>1300612787.8</v>
      </c>
    </row>
    <row r="11" spans="1:15" x14ac:dyDescent="0.3">
      <c r="A11" t="s">
        <v>89</v>
      </c>
      <c r="B11" t="s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231</v>
      </c>
    </row>
    <row r="12" spans="1:15" x14ac:dyDescent="0.3">
      <c r="A12" t="s">
        <v>89</v>
      </c>
      <c r="B12" t="s">
        <v>4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3">
      <c r="A13" t="s">
        <v>89</v>
      </c>
      <c r="B13" t="s">
        <v>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3">
      <c r="A14" t="s">
        <v>89</v>
      </c>
      <c r="B14" t="s">
        <v>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3">
      <c r="A15" t="s">
        <v>89</v>
      </c>
      <c r="B15" t="s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3">
      <c r="A16" t="s">
        <v>90</v>
      </c>
      <c r="B16" t="s">
        <v>69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3">
      <c r="A17" t="s">
        <v>91</v>
      </c>
      <c r="B17" t="s">
        <v>4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3">
      <c r="A18" t="s">
        <v>91</v>
      </c>
      <c r="B18" t="s">
        <v>5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3">
      <c r="A19" t="s">
        <v>92</v>
      </c>
      <c r="B19" t="s">
        <v>4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3">
      <c r="A20" t="s">
        <v>92</v>
      </c>
      <c r="B20" t="s">
        <v>5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 x14ac:dyDescent="0.3">
      <c r="A21" t="s">
        <v>93</v>
      </c>
      <c r="B21" t="s">
        <v>4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 x14ac:dyDescent="0.3">
      <c r="A22" t="s">
        <v>93</v>
      </c>
      <c r="B22" t="s">
        <v>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3">
      <c r="A23" t="s">
        <v>93</v>
      </c>
      <c r="B23" t="s">
        <v>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3">
      <c r="A24" t="s">
        <v>93</v>
      </c>
      <c r="B24" t="s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3">
      <c r="A25" t="s">
        <v>94</v>
      </c>
      <c r="B25" t="s">
        <v>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3">
      <c r="A26" t="s">
        <v>94</v>
      </c>
      <c r="B26" t="s">
        <v>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 x14ac:dyDescent="0.3">
      <c r="A27" t="s">
        <v>94</v>
      </c>
      <c r="B27" t="s">
        <v>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 x14ac:dyDescent="0.3">
      <c r="A28" t="s">
        <v>94</v>
      </c>
      <c r="B28" t="s">
        <v>5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 x14ac:dyDescent="0.3">
      <c r="A29" t="s">
        <v>95</v>
      </c>
      <c r="B29" t="s">
        <v>4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2676990.62</v>
      </c>
    </row>
    <row r="30" spans="1:15" x14ac:dyDescent="0.3">
      <c r="A30" t="s">
        <v>95</v>
      </c>
      <c r="B30" t="s">
        <v>2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3370543.05</v>
      </c>
    </row>
    <row r="31" spans="1:15" x14ac:dyDescent="0.3">
      <c r="A31" t="s">
        <v>95</v>
      </c>
      <c r="B31" t="s">
        <v>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3370543.05</v>
      </c>
    </row>
    <row r="32" spans="1:15" x14ac:dyDescent="0.3">
      <c r="A32" t="s">
        <v>95</v>
      </c>
      <c r="B32" t="s">
        <v>5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 x14ac:dyDescent="0.3">
      <c r="A33" t="s">
        <v>96</v>
      </c>
      <c r="B33" t="s">
        <v>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 x14ac:dyDescent="0.3">
      <c r="A34" t="s">
        <v>96</v>
      </c>
      <c r="B34" t="s">
        <v>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3">
      <c r="A35" t="s">
        <v>96</v>
      </c>
      <c r="B35" t="s">
        <v>3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 x14ac:dyDescent="0.3">
      <c r="A36" t="s">
        <v>96</v>
      </c>
      <c r="B36" t="s">
        <v>5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3">
      <c r="A37" t="s">
        <v>97</v>
      </c>
      <c r="B37" t="s">
        <v>4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 x14ac:dyDescent="0.3">
      <c r="A38" t="s">
        <v>97</v>
      </c>
      <c r="B38" t="s">
        <v>2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3">
      <c r="A39" t="s">
        <v>97</v>
      </c>
      <c r="B39" t="s">
        <v>3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 x14ac:dyDescent="0.3">
      <c r="A40" t="s">
        <v>97</v>
      </c>
      <c r="B40" t="s">
        <v>5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 x14ac:dyDescent="0.3">
      <c r="A41" t="s">
        <v>98</v>
      </c>
      <c r="B41" t="s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 x14ac:dyDescent="0.3">
      <c r="A42" t="s">
        <v>98</v>
      </c>
      <c r="B42" t="s">
        <v>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 x14ac:dyDescent="0.3">
      <c r="A43" t="s">
        <v>98</v>
      </c>
      <c r="B43" t="s">
        <v>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 x14ac:dyDescent="0.3">
      <c r="A44" t="s">
        <v>98</v>
      </c>
      <c r="B44" t="s">
        <v>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3">
      <c r="A45" t="s">
        <v>99</v>
      </c>
      <c r="B45" t="s">
        <v>4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 x14ac:dyDescent="0.3">
      <c r="A46" t="s">
        <v>99</v>
      </c>
      <c r="B46" t="s">
        <v>2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 x14ac:dyDescent="0.3">
      <c r="A47" t="s">
        <v>99</v>
      </c>
      <c r="B47" t="s">
        <v>3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3">
      <c r="A48" t="s">
        <v>99</v>
      </c>
      <c r="B48" t="s">
        <v>5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3">
      <c r="A49" t="s">
        <v>100</v>
      </c>
      <c r="B49" t="s">
        <v>4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 x14ac:dyDescent="0.3">
      <c r="A50" t="s">
        <v>100</v>
      </c>
      <c r="B50" t="s">
        <v>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 x14ac:dyDescent="0.3">
      <c r="A51" t="s">
        <v>100</v>
      </c>
      <c r="B51" t="s">
        <v>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 x14ac:dyDescent="0.3">
      <c r="A52" t="s">
        <v>100</v>
      </c>
      <c r="B52" t="s">
        <v>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 x14ac:dyDescent="0.3">
      <c r="A53" t="s">
        <v>101</v>
      </c>
      <c r="B53" t="s">
        <v>2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 x14ac:dyDescent="0.3">
      <c r="A54" t="s">
        <v>101</v>
      </c>
      <c r="B54" t="s">
        <v>3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 x14ac:dyDescent="0.3">
      <c r="A55" t="s">
        <v>168</v>
      </c>
      <c r="B55" t="s">
        <v>102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 x14ac:dyDescent="0.3">
      <c r="A56" t="s">
        <v>168</v>
      </c>
      <c r="B56" t="s">
        <v>103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 x14ac:dyDescent="0.3">
      <c r="A57" t="s">
        <v>168</v>
      </c>
      <c r="B57" t="s">
        <v>104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 x14ac:dyDescent="0.3">
      <c r="A58" t="s">
        <v>168</v>
      </c>
      <c r="B58" t="s">
        <v>105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 x14ac:dyDescent="0.3">
      <c r="A59" t="s">
        <v>168</v>
      </c>
      <c r="B59" t="s">
        <v>106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 x14ac:dyDescent="0.3">
      <c r="A60" t="s">
        <v>168</v>
      </c>
      <c r="B60" t="s">
        <v>107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 x14ac:dyDescent="0.3">
      <c r="A61" t="s">
        <v>168</v>
      </c>
      <c r="B61" t="s">
        <v>108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 x14ac:dyDescent="0.3">
      <c r="A62" t="s">
        <v>168</v>
      </c>
      <c r="B62" t="s">
        <v>109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3">
      <c r="A63" t="s">
        <v>169</v>
      </c>
      <c r="B63" t="s">
        <v>4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 x14ac:dyDescent="0.3">
      <c r="A64" t="s">
        <v>169</v>
      </c>
      <c r="B64" t="s">
        <v>2</v>
      </c>
      <c r="C64">
        <v>115268</v>
      </c>
      <c r="D64">
        <v>159032</v>
      </c>
      <c r="E64">
        <v>89566</v>
      </c>
      <c r="F64">
        <v>87675</v>
      </c>
      <c r="G64">
        <v>130444</v>
      </c>
      <c r="H64">
        <v>99126</v>
      </c>
      <c r="I64">
        <v>69468</v>
      </c>
      <c r="J64">
        <v>282383</v>
      </c>
      <c r="K64">
        <v>18371</v>
      </c>
      <c r="L64">
        <v>52890</v>
      </c>
      <c r="M64">
        <v>73720</v>
      </c>
      <c r="N64">
        <v>576126</v>
      </c>
      <c r="O64">
        <v>1754069</v>
      </c>
    </row>
    <row r="65" spans="1:15" x14ac:dyDescent="0.3">
      <c r="A65" t="s">
        <v>169</v>
      </c>
      <c r="B65" t="s">
        <v>3</v>
      </c>
      <c r="C65">
        <v>115268</v>
      </c>
      <c r="D65">
        <v>159032</v>
      </c>
      <c r="E65">
        <v>89566</v>
      </c>
      <c r="F65">
        <v>87675</v>
      </c>
      <c r="G65">
        <v>130444</v>
      </c>
      <c r="H65">
        <v>99126</v>
      </c>
      <c r="I65">
        <v>69468</v>
      </c>
      <c r="J65">
        <v>282383</v>
      </c>
      <c r="K65">
        <v>18371</v>
      </c>
      <c r="L65">
        <v>52890</v>
      </c>
      <c r="M65">
        <v>73720</v>
      </c>
      <c r="N65">
        <v>576126</v>
      </c>
      <c r="O65">
        <v>1754069</v>
      </c>
    </row>
    <row r="66" spans="1:15" x14ac:dyDescent="0.3">
      <c r="A66" t="s">
        <v>169</v>
      </c>
      <c r="B66" t="s">
        <v>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 x14ac:dyDescent="0.3">
      <c r="A67" t="s">
        <v>170</v>
      </c>
      <c r="B67" t="s">
        <v>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 x14ac:dyDescent="0.3">
      <c r="A68" t="s">
        <v>170</v>
      </c>
      <c r="B68" t="s">
        <v>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 x14ac:dyDescent="0.3">
      <c r="A69" t="s">
        <v>170</v>
      </c>
      <c r="B69" t="s">
        <v>3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 x14ac:dyDescent="0.3">
      <c r="A70" t="s">
        <v>170</v>
      </c>
      <c r="B70" t="s">
        <v>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 x14ac:dyDescent="0.3">
      <c r="A71" t="s">
        <v>167</v>
      </c>
      <c r="B71" t="s">
        <v>110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 x14ac:dyDescent="0.3">
      <c r="A72" t="s">
        <v>167</v>
      </c>
      <c r="B72" t="s">
        <v>111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 x14ac:dyDescent="0.3">
      <c r="A73" t="s">
        <v>167</v>
      </c>
      <c r="B73" t="s">
        <v>112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 x14ac:dyDescent="0.3">
      <c r="A74" t="s">
        <v>167</v>
      </c>
      <c r="B74" t="s">
        <v>113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 x14ac:dyDescent="0.3">
      <c r="A75" t="s">
        <v>167</v>
      </c>
      <c r="B75" t="s">
        <v>2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 x14ac:dyDescent="0.3">
      <c r="A76" t="s">
        <v>167</v>
      </c>
      <c r="B76" t="s">
        <v>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 x14ac:dyDescent="0.3">
      <c r="A77" t="s">
        <v>114</v>
      </c>
      <c r="B77" t="s">
        <v>115</v>
      </c>
      <c r="C77" t="s">
        <v>116</v>
      </c>
      <c r="D77" t="s">
        <v>117</v>
      </c>
      <c r="E77" t="s">
        <v>118</v>
      </c>
      <c r="F77" t="s">
        <v>119</v>
      </c>
      <c r="G77" t="s">
        <v>120</v>
      </c>
      <c r="H77" t="s">
        <v>121</v>
      </c>
      <c r="I77" t="s">
        <v>122</v>
      </c>
      <c r="J77" t="s">
        <v>123</v>
      </c>
      <c r="K77" t="s">
        <v>124</v>
      </c>
      <c r="L77" t="s">
        <v>125</v>
      </c>
      <c r="M77" t="s">
        <v>126</v>
      </c>
      <c r="N77" t="s">
        <v>127</v>
      </c>
      <c r="O77">
        <v>0</v>
      </c>
    </row>
    <row r="78" spans="1:15" x14ac:dyDescent="0.3">
      <c r="A78" t="s">
        <v>114</v>
      </c>
      <c r="B78" t="s">
        <v>128</v>
      </c>
      <c r="C78" t="s">
        <v>129</v>
      </c>
      <c r="D78" t="s">
        <v>117</v>
      </c>
      <c r="E78" t="s">
        <v>118</v>
      </c>
      <c r="F78" t="s">
        <v>119</v>
      </c>
      <c r="G78" t="s">
        <v>120</v>
      </c>
      <c r="H78" t="s">
        <v>130</v>
      </c>
      <c r="I78" t="s">
        <v>131</v>
      </c>
      <c r="J78" t="s">
        <v>132</v>
      </c>
      <c r="K78" t="s">
        <v>133</v>
      </c>
      <c r="L78" t="s">
        <v>125</v>
      </c>
      <c r="M78" t="s">
        <v>134</v>
      </c>
      <c r="N78" t="s">
        <v>135</v>
      </c>
      <c r="O78">
        <v>0</v>
      </c>
    </row>
    <row r="79" spans="1:15" x14ac:dyDescent="0.3">
      <c r="A79" t="s">
        <v>114</v>
      </c>
      <c r="B79" t="s">
        <v>136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1</v>
      </c>
      <c r="L79">
        <v>0</v>
      </c>
      <c r="M79">
        <v>0</v>
      </c>
      <c r="N79">
        <v>0</v>
      </c>
      <c r="O79">
        <v>1</v>
      </c>
    </row>
    <row r="80" spans="1:15" x14ac:dyDescent="0.3">
      <c r="B80" t="s">
        <v>171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2:15" x14ac:dyDescent="0.3">
      <c r="B81" t="s">
        <v>172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 s="2">
        <v>9.0596712328767097</v>
      </c>
      <c r="L81">
        <v>0</v>
      </c>
      <c r="M81">
        <v>0</v>
      </c>
      <c r="N81">
        <v>0</v>
      </c>
      <c r="O81" s="2">
        <v>9.0596712328767097</v>
      </c>
    </row>
    <row r="82" spans="2:15" x14ac:dyDescent="0.3">
      <c r="B82" t="s">
        <v>173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 s="2">
        <v>9.0596712328767097</v>
      </c>
      <c r="L82">
        <v>0</v>
      </c>
      <c r="M82">
        <v>0</v>
      </c>
      <c r="N82">
        <v>0</v>
      </c>
      <c r="O82" s="2">
        <v>9.0596712328767097</v>
      </c>
    </row>
    <row r="83" spans="2:15" x14ac:dyDescent="0.3">
      <c r="B83" t="s">
        <v>174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7"/>
  <sheetViews>
    <sheetView tabSelected="1" topLeftCell="A34" workbookViewId="0">
      <selection activeCell="E12" sqref="E12"/>
    </sheetView>
  </sheetViews>
  <sheetFormatPr defaultRowHeight="14.4" x14ac:dyDescent="0.3"/>
  <cols>
    <col min="1" max="1" width="122.5546875" bestFit="1" customWidth="1"/>
    <col min="2" max="2" width="12.88671875" bestFit="1" customWidth="1"/>
    <col min="3" max="4" width="11.441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</row>
    <row r="3" spans="1:6" x14ac:dyDescent="0.3">
      <c r="A3" t="s">
        <v>7</v>
      </c>
    </row>
    <row r="5" spans="1:6" x14ac:dyDescent="0.3">
      <c r="A5" t="s">
        <v>8</v>
      </c>
    </row>
    <row r="6" spans="1:6" x14ac:dyDescent="0.3">
      <c r="A6" t="s">
        <v>9</v>
      </c>
      <c r="B6">
        <v>14950231</v>
      </c>
      <c r="C6">
        <v>1335279.69</v>
      </c>
      <c r="D6">
        <v>1335279.69</v>
      </c>
      <c r="E6">
        <v>0</v>
      </c>
      <c r="F6">
        <v>0</v>
      </c>
    </row>
    <row r="7" spans="1:6" x14ac:dyDescent="0.3">
      <c r="A7" t="s">
        <v>10</v>
      </c>
      <c r="B7">
        <v>4651428</v>
      </c>
      <c r="C7">
        <v>418484.52</v>
      </c>
      <c r="D7">
        <v>418484.52</v>
      </c>
      <c r="E7">
        <v>0</v>
      </c>
      <c r="F7">
        <v>0</v>
      </c>
    </row>
    <row r="8" spans="1:6" x14ac:dyDescent="0.3">
      <c r="A8" t="s">
        <v>11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3">
      <c r="A9" t="s">
        <v>12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3">
      <c r="A10" t="s">
        <v>13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3">
      <c r="A11" t="s">
        <v>14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3">
      <c r="A12" t="s">
        <v>15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16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3">
      <c r="A14" t="s">
        <v>17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3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3">
      <c r="A16" t="s">
        <v>19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3">
      <c r="A17" t="s">
        <v>20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3">
      <c r="A18" t="s">
        <v>21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3">
      <c r="A19" t="s">
        <v>22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3">
      <c r="A20" t="s">
        <v>23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3">
      <c r="A21" t="s">
        <v>24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3">
      <c r="A22" t="s">
        <v>25</v>
      </c>
      <c r="B22">
        <v>0</v>
      </c>
      <c r="C22">
        <v>0</v>
      </c>
      <c r="D22">
        <v>0</v>
      </c>
      <c r="E22">
        <v>0</v>
      </c>
      <c r="F22">
        <v>0</v>
      </c>
    </row>
    <row r="24" spans="1:6" x14ac:dyDescent="0.3">
      <c r="A24" t="s">
        <v>26</v>
      </c>
    </row>
    <row r="25" spans="1:6" x14ac:dyDescent="0.3">
      <c r="A25" t="s">
        <v>27</v>
      </c>
      <c r="B25">
        <v>3370543.05</v>
      </c>
      <c r="C25">
        <v>3370543.05</v>
      </c>
      <c r="D25">
        <v>2676990.62</v>
      </c>
      <c r="E25">
        <v>0</v>
      </c>
      <c r="F25">
        <v>0</v>
      </c>
    </row>
    <row r="26" spans="1:6" x14ac:dyDescent="0.3">
      <c r="A26" t="s">
        <v>28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3">
      <c r="A27" t="s">
        <v>29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3">
      <c r="A32" t="s">
        <v>34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3">
      <c r="A33" t="s">
        <v>35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3">
      <c r="A34" t="s">
        <v>36</v>
      </c>
      <c r="B34">
        <v>0</v>
      </c>
      <c r="C34">
        <v>0</v>
      </c>
      <c r="D34">
        <v>0</v>
      </c>
      <c r="E34">
        <v>0</v>
      </c>
      <c r="F34">
        <v>0</v>
      </c>
    </row>
    <row r="35" spans="1:6" x14ac:dyDescent="0.3">
      <c r="A35" t="s">
        <v>37</v>
      </c>
      <c r="B35">
        <v>0</v>
      </c>
      <c r="C35">
        <v>0</v>
      </c>
      <c r="D35">
        <v>0</v>
      </c>
      <c r="E35">
        <v>0</v>
      </c>
      <c r="F35">
        <v>0</v>
      </c>
    </row>
    <row r="36" spans="1:6" x14ac:dyDescent="0.3">
      <c r="A36" t="s">
        <v>38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3">
      <c r="A37" t="s">
        <v>39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3">
      <c r="A38" t="s">
        <v>40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3">
      <c r="A39" t="s">
        <v>41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3">
      <c r="A40" t="s">
        <v>42</v>
      </c>
      <c r="B40">
        <v>0</v>
      </c>
      <c r="C40">
        <v>0</v>
      </c>
      <c r="D40">
        <v>0</v>
      </c>
      <c r="E40">
        <v>0</v>
      </c>
      <c r="F40">
        <v>0</v>
      </c>
    </row>
    <row r="41" spans="1:6" x14ac:dyDescent="0.3">
      <c r="A41" t="s">
        <v>43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 x14ac:dyDescent="0.3">
      <c r="A42" t="s">
        <v>44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45</v>
      </c>
      <c r="B43">
        <v>0</v>
      </c>
      <c r="C43">
        <v>0</v>
      </c>
      <c r="D43">
        <v>0</v>
      </c>
      <c r="E43">
        <v>0</v>
      </c>
      <c r="F43">
        <v>0</v>
      </c>
    </row>
    <row r="44" spans="1:6" x14ac:dyDescent="0.3">
      <c r="A44" t="s">
        <v>46</v>
      </c>
      <c r="B44">
        <v>0</v>
      </c>
      <c r="C44">
        <v>0</v>
      </c>
      <c r="D44">
        <v>0</v>
      </c>
      <c r="E44">
        <v>0</v>
      </c>
      <c r="F44">
        <v>0</v>
      </c>
    </row>
    <row r="45" spans="1:6" x14ac:dyDescent="0.3">
      <c r="A45" t="s">
        <v>47</v>
      </c>
      <c r="B45">
        <v>0</v>
      </c>
      <c r="C45">
        <v>0</v>
      </c>
      <c r="D45">
        <v>0</v>
      </c>
      <c r="E45">
        <v>0</v>
      </c>
      <c r="F45">
        <v>0</v>
      </c>
    </row>
    <row r="47" spans="1:6" x14ac:dyDescent="0.3">
      <c r="A47" t="s"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7"/>
  <sheetViews>
    <sheetView zoomScale="85" zoomScaleNormal="85" workbookViewId="0">
      <selection activeCell="G10" sqref="G10"/>
    </sheetView>
  </sheetViews>
  <sheetFormatPr defaultRowHeight="14.4" x14ac:dyDescent="0.3"/>
  <cols>
    <col min="1" max="1" width="122.5546875" bestFit="1" customWidth="1"/>
    <col min="2" max="2" width="12" bestFit="1" customWidth="1"/>
    <col min="3" max="4" width="11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</row>
    <row r="3" spans="1:6" x14ac:dyDescent="0.3">
      <c r="A3" t="s">
        <v>7</v>
      </c>
    </row>
    <row r="5" spans="1:6" x14ac:dyDescent="0.3">
      <c r="A5" t="s">
        <v>8</v>
      </c>
    </row>
    <row r="6" spans="1:6" x14ac:dyDescent="0.3">
      <c r="A6" t="s">
        <v>9</v>
      </c>
      <c r="B6" s="2">
        <v>12043902</v>
      </c>
      <c r="C6" s="2">
        <v>1077226.23</v>
      </c>
      <c r="D6" s="2">
        <v>1077226.23</v>
      </c>
      <c r="E6">
        <v>0</v>
      </c>
      <c r="F6">
        <v>0</v>
      </c>
    </row>
    <row r="7" spans="1:6" x14ac:dyDescent="0.3">
      <c r="A7" t="s">
        <v>10</v>
      </c>
      <c r="B7" s="2">
        <v>714229</v>
      </c>
      <c r="C7" s="2">
        <v>60229.35</v>
      </c>
      <c r="D7">
        <v>60229.35</v>
      </c>
      <c r="E7">
        <v>0</v>
      </c>
      <c r="F7">
        <v>0</v>
      </c>
    </row>
    <row r="8" spans="1:6" x14ac:dyDescent="0.3">
      <c r="A8" t="s">
        <v>11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3">
      <c r="A9" t="s">
        <v>12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3">
      <c r="A10" t="s">
        <v>13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3">
      <c r="A11" t="s">
        <v>14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3">
      <c r="A12" t="s">
        <v>15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16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3">
      <c r="A14" t="s">
        <v>17</v>
      </c>
      <c r="B14">
        <v>12758131</v>
      </c>
      <c r="C14">
        <v>1137455.58</v>
      </c>
      <c r="D14">
        <v>1137455.58</v>
      </c>
      <c r="E14">
        <v>0</v>
      </c>
      <c r="F14">
        <v>0</v>
      </c>
    </row>
    <row r="15" spans="1:6" x14ac:dyDescent="0.3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3">
      <c r="A16" t="s">
        <v>19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3">
      <c r="A17" t="s">
        <v>20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3">
      <c r="A18" t="s">
        <v>21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3">
      <c r="A19" t="s">
        <v>22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3">
      <c r="A20" t="s">
        <v>23</v>
      </c>
      <c r="B20">
        <v>12758131</v>
      </c>
      <c r="C20">
        <v>1137455.58</v>
      </c>
      <c r="D20">
        <v>1137455.58</v>
      </c>
      <c r="E20">
        <v>0</v>
      </c>
      <c r="F20">
        <v>0</v>
      </c>
    </row>
    <row r="21" spans="1:6" x14ac:dyDescent="0.3">
      <c r="A21" t="s">
        <v>24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3">
      <c r="A22" t="s">
        <v>25</v>
      </c>
      <c r="B22">
        <v>0</v>
      </c>
      <c r="C22">
        <v>0</v>
      </c>
      <c r="D22">
        <v>0</v>
      </c>
      <c r="E22">
        <v>0</v>
      </c>
      <c r="F22">
        <v>0</v>
      </c>
    </row>
    <row r="24" spans="1:6" x14ac:dyDescent="0.3">
      <c r="A24" t="s">
        <v>26</v>
      </c>
    </row>
    <row r="25" spans="1:6" x14ac:dyDescent="0.3">
      <c r="A25" t="s">
        <v>27</v>
      </c>
      <c r="B25">
        <v>3476462.51</v>
      </c>
      <c r="C25">
        <v>3476462.51</v>
      </c>
      <c r="D25">
        <v>528886.92000000004</v>
      </c>
      <c r="E25">
        <v>0</v>
      </c>
      <c r="F25">
        <v>0</v>
      </c>
    </row>
    <row r="26" spans="1:6" x14ac:dyDescent="0.3">
      <c r="A26" t="s">
        <v>28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3">
      <c r="A27" t="s">
        <v>29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3">
      <c r="A32" t="s">
        <v>34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3">
      <c r="A33" t="s">
        <v>35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3">
      <c r="A34" t="s">
        <v>36</v>
      </c>
      <c r="B34">
        <v>0</v>
      </c>
      <c r="C34">
        <v>0</v>
      </c>
      <c r="D34">
        <v>0</v>
      </c>
      <c r="E34">
        <v>0</v>
      </c>
      <c r="F34">
        <v>0</v>
      </c>
    </row>
    <row r="35" spans="1:6" x14ac:dyDescent="0.3">
      <c r="A35" t="s">
        <v>37</v>
      </c>
      <c r="B35">
        <v>0</v>
      </c>
      <c r="C35">
        <v>0</v>
      </c>
      <c r="D35">
        <v>0</v>
      </c>
      <c r="E35">
        <v>0</v>
      </c>
      <c r="F35">
        <v>0</v>
      </c>
    </row>
    <row r="36" spans="1:6" x14ac:dyDescent="0.3">
      <c r="A36" t="s">
        <v>38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3">
      <c r="A37" t="s">
        <v>39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3">
      <c r="A38" t="s">
        <v>40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3">
      <c r="A39" t="s">
        <v>41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3">
      <c r="A40" t="s">
        <v>42</v>
      </c>
      <c r="B40">
        <v>0</v>
      </c>
      <c r="C40">
        <v>0</v>
      </c>
      <c r="D40">
        <v>0</v>
      </c>
      <c r="E40">
        <v>0</v>
      </c>
      <c r="F40">
        <v>0</v>
      </c>
    </row>
    <row r="41" spans="1:6" x14ac:dyDescent="0.3">
      <c r="A41" t="s">
        <v>43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 x14ac:dyDescent="0.3">
      <c r="A42" t="s">
        <v>44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45</v>
      </c>
      <c r="B43">
        <v>0</v>
      </c>
      <c r="C43">
        <v>0</v>
      </c>
      <c r="D43">
        <v>0</v>
      </c>
      <c r="E43">
        <v>0</v>
      </c>
      <c r="F43">
        <v>0</v>
      </c>
    </row>
    <row r="44" spans="1:6" x14ac:dyDescent="0.3">
      <c r="A44" t="s">
        <v>46</v>
      </c>
      <c r="B44">
        <v>0</v>
      </c>
      <c r="C44">
        <v>0</v>
      </c>
      <c r="D44">
        <v>0</v>
      </c>
      <c r="E44">
        <v>0</v>
      </c>
      <c r="F44">
        <v>0</v>
      </c>
    </row>
    <row r="45" spans="1:6" x14ac:dyDescent="0.3">
      <c r="A45" t="s">
        <v>47</v>
      </c>
      <c r="B45">
        <v>0</v>
      </c>
      <c r="C45">
        <v>0</v>
      </c>
      <c r="D45">
        <v>0</v>
      </c>
      <c r="E45">
        <v>0</v>
      </c>
      <c r="F45">
        <v>0</v>
      </c>
    </row>
    <row r="47" spans="1:6" x14ac:dyDescent="0.3">
      <c r="A47" t="s">
        <v>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3"/>
  <sheetViews>
    <sheetView workbookViewId="0"/>
  </sheetViews>
  <sheetFormatPr defaultRowHeight="14.4" x14ac:dyDescent="0.3"/>
  <sheetData>
    <row r="1" spans="1:5" x14ac:dyDescent="0.3">
      <c r="A1" s="1" t="s">
        <v>137</v>
      </c>
      <c r="B1" s="1" t="s">
        <v>138</v>
      </c>
      <c r="C1" s="1" t="s">
        <v>139</v>
      </c>
      <c r="D1" s="1" t="s">
        <v>140</v>
      </c>
      <c r="E1" s="1" t="s">
        <v>141</v>
      </c>
    </row>
    <row r="2" spans="1:5" x14ac:dyDescent="0.3">
      <c r="A2" t="s">
        <v>51</v>
      </c>
      <c r="B2">
        <v>58910</v>
      </c>
      <c r="C2">
        <v>58910</v>
      </c>
      <c r="D2">
        <v>0</v>
      </c>
      <c r="E2" t="s">
        <v>142</v>
      </c>
    </row>
    <row r="3" spans="1:5" x14ac:dyDescent="0.3">
      <c r="A3" t="s">
        <v>52</v>
      </c>
      <c r="B3">
        <v>443676.96</v>
      </c>
      <c r="C3">
        <v>443676.96</v>
      </c>
      <c r="D3">
        <v>0</v>
      </c>
      <c r="E3" t="s">
        <v>142</v>
      </c>
    </row>
    <row r="4" spans="1:5" x14ac:dyDescent="0.3">
      <c r="A4" t="s">
        <v>53</v>
      </c>
      <c r="B4">
        <v>220746.03</v>
      </c>
      <c r="C4">
        <v>220746.03</v>
      </c>
      <c r="D4">
        <v>0</v>
      </c>
      <c r="E4" t="s">
        <v>142</v>
      </c>
    </row>
    <row r="5" spans="1:5" x14ac:dyDescent="0.3">
      <c r="A5" t="s">
        <v>54</v>
      </c>
      <c r="B5">
        <v>141557.38</v>
      </c>
      <c r="C5">
        <v>141557.38</v>
      </c>
      <c r="D5">
        <v>0</v>
      </c>
      <c r="E5" t="s">
        <v>142</v>
      </c>
    </row>
    <row r="6" spans="1:5" x14ac:dyDescent="0.3">
      <c r="A6" t="s">
        <v>55</v>
      </c>
      <c r="B6">
        <v>525974.43999999994</v>
      </c>
      <c r="C6">
        <v>525974.43999999994</v>
      </c>
      <c r="D6">
        <v>0</v>
      </c>
      <c r="E6" t="s">
        <v>142</v>
      </c>
    </row>
    <row r="7" spans="1:5" x14ac:dyDescent="0.3">
      <c r="A7" t="s">
        <v>56</v>
      </c>
      <c r="B7">
        <v>0</v>
      </c>
      <c r="C7">
        <v>449994.52</v>
      </c>
      <c r="D7">
        <v>0</v>
      </c>
      <c r="E7" t="s">
        <v>142</v>
      </c>
    </row>
    <row r="8" spans="1:5" x14ac:dyDescent="0.3">
      <c r="A8" t="s">
        <v>57</v>
      </c>
      <c r="B8">
        <v>125902.18</v>
      </c>
      <c r="C8">
        <v>129429.82</v>
      </c>
      <c r="D8">
        <v>0</v>
      </c>
      <c r="E8" t="s">
        <v>142</v>
      </c>
    </row>
    <row r="9" spans="1:5" x14ac:dyDescent="0.3">
      <c r="A9" t="s">
        <v>58</v>
      </c>
      <c r="B9">
        <v>522345.6</v>
      </c>
      <c r="C9">
        <v>522345.6</v>
      </c>
      <c r="D9">
        <v>0</v>
      </c>
      <c r="E9" t="s">
        <v>142</v>
      </c>
    </row>
    <row r="10" spans="1:5" x14ac:dyDescent="0.3">
      <c r="A10" t="s">
        <v>59</v>
      </c>
      <c r="B10">
        <v>11177.89</v>
      </c>
      <c r="C10">
        <v>11177.89</v>
      </c>
      <c r="D10">
        <v>0</v>
      </c>
      <c r="E10" t="s">
        <v>142</v>
      </c>
    </row>
    <row r="11" spans="1:5" x14ac:dyDescent="0.3">
      <c r="A11" t="s">
        <v>60</v>
      </c>
      <c r="B11">
        <v>135555.1</v>
      </c>
      <c r="C11">
        <v>135555.1</v>
      </c>
      <c r="D11">
        <v>0</v>
      </c>
      <c r="E11" t="s">
        <v>142</v>
      </c>
    </row>
    <row r="12" spans="1:5" x14ac:dyDescent="0.3">
      <c r="A12" t="s">
        <v>61</v>
      </c>
      <c r="B12">
        <v>7350.96</v>
      </c>
      <c r="C12">
        <v>7350.96</v>
      </c>
      <c r="D12">
        <v>0</v>
      </c>
      <c r="E12" t="s">
        <v>142</v>
      </c>
    </row>
    <row r="13" spans="1:5" x14ac:dyDescent="0.3">
      <c r="A13" t="s">
        <v>62</v>
      </c>
      <c r="B13">
        <v>483794.08</v>
      </c>
      <c r="C13">
        <v>483794.08</v>
      </c>
      <c r="D13">
        <v>0</v>
      </c>
      <c r="E13" t="s">
        <v>142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"/>
  <sheetViews>
    <sheetView workbookViewId="0"/>
  </sheetViews>
  <sheetFormatPr defaultRowHeight="14.4" x14ac:dyDescent="0.3"/>
  <sheetData>
    <row r="1" spans="1:5" x14ac:dyDescent="0.3">
      <c r="A1" s="1" t="s">
        <v>137</v>
      </c>
      <c r="B1" s="1" t="s">
        <v>143</v>
      </c>
      <c r="C1" s="1" t="s">
        <v>144</v>
      </c>
      <c r="D1" s="1" t="s">
        <v>145</v>
      </c>
      <c r="E1" s="1" t="s">
        <v>146</v>
      </c>
    </row>
    <row r="2" spans="1:5" x14ac:dyDescent="0.3">
      <c r="A2" t="s">
        <v>51</v>
      </c>
      <c r="B2">
        <v>0</v>
      </c>
      <c r="C2">
        <v>0</v>
      </c>
      <c r="D2">
        <v>0</v>
      </c>
      <c r="E2" t="s">
        <v>147</v>
      </c>
    </row>
    <row r="3" spans="1:5" x14ac:dyDescent="0.3">
      <c r="A3" t="s">
        <v>52</v>
      </c>
      <c r="B3">
        <v>0</v>
      </c>
      <c r="C3">
        <v>0</v>
      </c>
      <c r="D3">
        <v>0</v>
      </c>
      <c r="E3" t="s">
        <v>147</v>
      </c>
    </row>
    <row r="4" spans="1:5" x14ac:dyDescent="0.3">
      <c r="A4" t="s">
        <v>53</v>
      </c>
      <c r="B4">
        <v>0</v>
      </c>
      <c r="C4">
        <v>0</v>
      </c>
      <c r="D4">
        <v>0</v>
      </c>
      <c r="E4" t="s">
        <v>147</v>
      </c>
    </row>
    <row r="5" spans="1:5" x14ac:dyDescent="0.3">
      <c r="A5" t="s">
        <v>54</v>
      </c>
      <c r="B5">
        <v>0</v>
      </c>
      <c r="C5">
        <v>0</v>
      </c>
      <c r="D5">
        <v>0</v>
      </c>
      <c r="E5" t="s">
        <v>147</v>
      </c>
    </row>
    <row r="6" spans="1:5" x14ac:dyDescent="0.3">
      <c r="A6" t="s">
        <v>55</v>
      </c>
      <c r="B6">
        <v>0</v>
      </c>
      <c r="C6">
        <v>0</v>
      </c>
      <c r="D6">
        <v>0</v>
      </c>
      <c r="E6" t="s">
        <v>147</v>
      </c>
    </row>
    <row r="7" spans="1:5" x14ac:dyDescent="0.3">
      <c r="A7" t="s">
        <v>56</v>
      </c>
      <c r="B7">
        <v>0</v>
      </c>
      <c r="C7">
        <v>0</v>
      </c>
      <c r="D7">
        <v>0</v>
      </c>
      <c r="E7" t="s">
        <v>147</v>
      </c>
    </row>
    <row r="8" spans="1:5" x14ac:dyDescent="0.3">
      <c r="A8" t="s">
        <v>57</v>
      </c>
      <c r="B8">
        <v>0</v>
      </c>
      <c r="C8">
        <v>0</v>
      </c>
      <c r="D8">
        <v>0</v>
      </c>
      <c r="E8" t="s">
        <v>147</v>
      </c>
    </row>
    <row r="9" spans="1:5" x14ac:dyDescent="0.3">
      <c r="A9" t="s">
        <v>58</v>
      </c>
      <c r="B9">
        <v>0</v>
      </c>
      <c r="C9">
        <v>0</v>
      </c>
      <c r="D9">
        <v>0</v>
      </c>
      <c r="E9" t="s">
        <v>147</v>
      </c>
    </row>
    <row r="10" spans="1:5" x14ac:dyDescent="0.3">
      <c r="A10" t="s">
        <v>59</v>
      </c>
      <c r="B10">
        <v>0</v>
      </c>
      <c r="C10">
        <v>0</v>
      </c>
      <c r="D10">
        <v>0</v>
      </c>
      <c r="E10" t="s">
        <v>147</v>
      </c>
    </row>
    <row r="11" spans="1:5" x14ac:dyDescent="0.3">
      <c r="A11" t="s">
        <v>60</v>
      </c>
      <c r="B11">
        <v>0</v>
      </c>
      <c r="C11">
        <v>0</v>
      </c>
      <c r="D11">
        <v>0</v>
      </c>
      <c r="E11" t="s">
        <v>147</v>
      </c>
    </row>
    <row r="12" spans="1:5" x14ac:dyDescent="0.3">
      <c r="A12" t="s">
        <v>61</v>
      </c>
      <c r="B12">
        <v>0</v>
      </c>
      <c r="C12">
        <v>0</v>
      </c>
      <c r="D12">
        <v>0</v>
      </c>
      <c r="E12" t="s">
        <v>147</v>
      </c>
    </row>
    <row r="13" spans="1:5" x14ac:dyDescent="0.3">
      <c r="A13" t="s">
        <v>62</v>
      </c>
      <c r="B13">
        <v>0</v>
      </c>
      <c r="C13">
        <v>0</v>
      </c>
      <c r="D13">
        <v>0</v>
      </c>
      <c r="E13" t="s">
        <v>147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workbookViewId="0"/>
  </sheetViews>
  <sheetFormatPr defaultRowHeight="14.4" x14ac:dyDescent="0.3"/>
  <sheetData>
    <row r="1" spans="1:5" x14ac:dyDescent="0.3">
      <c r="A1" s="1" t="s">
        <v>137</v>
      </c>
      <c r="B1" s="1" t="s">
        <v>148</v>
      </c>
      <c r="C1" s="1" t="s">
        <v>149</v>
      </c>
      <c r="D1" s="1" t="s">
        <v>145</v>
      </c>
      <c r="E1" s="1" t="s">
        <v>146</v>
      </c>
    </row>
    <row r="2" spans="1:5" x14ac:dyDescent="0.3">
      <c r="A2" t="s">
        <v>51</v>
      </c>
      <c r="B2">
        <v>0</v>
      </c>
      <c r="C2">
        <v>0</v>
      </c>
      <c r="D2">
        <v>0</v>
      </c>
      <c r="E2" t="s">
        <v>147</v>
      </c>
    </row>
    <row r="3" spans="1:5" x14ac:dyDescent="0.3">
      <c r="A3" t="s">
        <v>52</v>
      </c>
      <c r="B3">
        <v>0</v>
      </c>
      <c r="C3">
        <v>0</v>
      </c>
      <c r="D3">
        <v>0</v>
      </c>
      <c r="E3" t="s">
        <v>147</v>
      </c>
    </row>
    <row r="4" spans="1:5" x14ac:dyDescent="0.3">
      <c r="A4" t="s">
        <v>53</v>
      </c>
      <c r="B4">
        <v>0</v>
      </c>
      <c r="C4">
        <v>0</v>
      </c>
      <c r="D4">
        <v>0</v>
      </c>
      <c r="E4" t="s">
        <v>147</v>
      </c>
    </row>
    <row r="5" spans="1:5" x14ac:dyDescent="0.3">
      <c r="A5" t="s">
        <v>54</v>
      </c>
      <c r="B5">
        <v>0</v>
      </c>
      <c r="C5">
        <v>0</v>
      </c>
      <c r="D5">
        <v>0</v>
      </c>
      <c r="E5" t="s">
        <v>147</v>
      </c>
    </row>
    <row r="6" spans="1:5" x14ac:dyDescent="0.3">
      <c r="A6" t="s">
        <v>55</v>
      </c>
      <c r="B6">
        <v>0</v>
      </c>
      <c r="C6">
        <v>0</v>
      </c>
      <c r="D6">
        <v>0</v>
      </c>
      <c r="E6" t="s">
        <v>147</v>
      </c>
    </row>
    <row r="7" spans="1:5" x14ac:dyDescent="0.3">
      <c r="A7" t="s">
        <v>56</v>
      </c>
      <c r="B7">
        <v>0</v>
      </c>
      <c r="C7">
        <v>0</v>
      </c>
      <c r="D7">
        <v>0</v>
      </c>
      <c r="E7" t="s">
        <v>147</v>
      </c>
    </row>
    <row r="8" spans="1:5" x14ac:dyDescent="0.3">
      <c r="A8" t="s">
        <v>57</v>
      </c>
      <c r="B8">
        <v>0</v>
      </c>
      <c r="C8">
        <v>0</v>
      </c>
      <c r="D8">
        <v>0</v>
      </c>
      <c r="E8" t="s">
        <v>147</v>
      </c>
    </row>
    <row r="9" spans="1:5" x14ac:dyDescent="0.3">
      <c r="A9" t="s">
        <v>58</v>
      </c>
      <c r="B9">
        <v>0</v>
      </c>
      <c r="C9">
        <v>0</v>
      </c>
      <c r="D9">
        <v>0</v>
      </c>
      <c r="E9" t="s">
        <v>147</v>
      </c>
    </row>
    <row r="10" spans="1:5" x14ac:dyDescent="0.3">
      <c r="A10" t="s">
        <v>59</v>
      </c>
      <c r="B10">
        <v>0</v>
      </c>
      <c r="C10">
        <v>0</v>
      </c>
      <c r="D10">
        <v>0</v>
      </c>
      <c r="E10" t="s">
        <v>147</v>
      </c>
    </row>
    <row r="11" spans="1:5" x14ac:dyDescent="0.3">
      <c r="A11" t="s">
        <v>60</v>
      </c>
      <c r="B11">
        <v>0</v>
      </c>
      <c r="C11">
        <v>0</v>
      </c>
      <c r="D11">
        <v>0</v>
      </c>
      <c r="E11" t="s">
        <v>147</v>
      </c>
    </row>
    <row r="12" spans="1:5" x14ac:dyDescent="0.3">
      <c r="A12" t="s">
        <v>61</v>
      </c>
      <c r="B12">
        <v>0</v>
      </c>
      <c r="C12">
        <v>0</v>
      </c>
      <c r="D12">
        <v>0</v>
      </c>
      <c r="E12" t="s">
        <v>147</v>
      </c>
    </row>
    <row r="13" spans="1:5" x14ac:dyDescent="0.3">
      <c r="A13" t="s">
        <v>62</v>
      </c>
      <c r="B13">
        <v>0</v>
      </c>
      <c r="C13">
        <v>0</v>
      </c>
      <c r="D13">
        <v>0</v>
      </c>
      <c r="E13" t="s">
        <v>147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2"/>
  <sheetViews>
    <sheetView workbookViewId="0"/>
  </sheetViews>
  <sheetFormatPr defaultRowHeight="14.4" x14ac:dyDescent="0.3"/>
  <sheetData>
    <row r="1" spans="1:4" x14ac:dyDescent="0.3">
      <c r="A1" s="1" t="s">
        <v>150</v>
      </c>
      <c r="B1" s="1" t="s">
        <v>151</v>
      </c>
      <c r="C1" s="1" t="s">
        <v>145</v>
      </c>
      <c r="D1" s="1" t="s">
        <v>146</v>
      </c>
    </row>
    <row r="2" spans="1:4" x14ac:dyDescent="0.3">
      <c r="A2">
        <v>0</v>
      </c>
      <c r="B2">
        <v>0</v>
      </c>
      <c r="C2">
        <v>0</v>
      </c>
      <c r="D2" t="s">
        <v>147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3"/>
  <sheetViews>
    <sheetView workbookViewId="0"/>
  </sheetViews>
  <sheetFormatPr defaultRowHeight="14.4" x14ac:dyDescent="0.3"/>
  <sheetData>
    <row r="1" spans="1:5" x14ac:dyDescent="0.3">
      <c r="A1" s="1" t="s">
        <v>137</v>
      </c>
      <c r="B1" s="1" t="s">
        <v>152</v>
      </c>
      <c r="C1" s="1" t="s">
        <v>153</v>
      </c>
      <c r="D1" s="1" t="s">
        <v>145</v>
      </c>
      <c r="E1" s="1" t="s">
        <v>146</v>
      </c>
    </row>
    <row r="2" spans="1:5" x14ac:dyDescent="0.3">
      <c r="A2" t="s">
        <v>51</v>
      </c>
      <c r="B2">
        <v>0</v>
      </c>
      <c r="C2">
        <v>0</v>
      </c>
      <c r="D2">
        <v>0</v>
      </c>
      <c r="E2" t="s">
        <v>147</v>
      </c>
    </row>
    <row r="3" spans="1:5" x14ac:dyDescent="0.3">
      <c r="A3" t="s">
        <v>52</v>
      </c>
      <c r="B3">
        <v>0</v>
      </c>
      <c r="C3">
        <v>0</v>
      </c>
      <c r="D3">
        <v>0</v>
      </c>
      <c r="E3" t="s">
        <v>147</v>
      </c>
    </row>
    <row r="4" spans="1:5" x14ac:dyDescent="0.3">
      <c r="A4" t="s">
        <v>53</v>
      </c>
      <c r="B4">
        <v>0</v>
      </c>
      <c r="C4">
        <v>0</v>
      </c>
      <c r="D4">
        <v>0</v>
      </c>
      <c r="E4" t="s">
        <v>147</v>
      </c>
    </row>
    <row r="5" spans="1:5" x14ac:dyDescent="0.3">
      <c r="A5" t="s">
        <v>54</v>
      </c>
      <c r="B5">
        <v>0</v>
      </c>
      <c r="C5">
        <v>0</v>
      </c>
      <c r="D5">
        <v>0</v>
      </c>
      <c r="E5" t="s">
        <v>147</v>
      </c>
    </row>
    <row r="6" spans="1:5" x14ac:dyDescent="0.3">
      <c r="A6" t="s">
        <v>55</v>
      </c>
      <c r="B6">
        <v>0</v>
      </c>
      <c r="C6">
        <v>0</v>
      </c>
      <c r="D6">
        <v>0</v>
      </c>
      <c r="E6" t="s">
        <v>147</v>
      </c>
    </row>
    <row r="7" spans="1:5" x14ac:dyDescent="0.3">
      <c r="A7" t="s">
        <v>56</v>
      </c>
      <c r="B7">
        <v>0</v>
      </c>
      <c r="C7">
        <v>0</v>
      </c>
      <c r="D7">
        <v>0</v>
      </c>
      <c r="E7" t="s">
        <v>147</v>
      </c>
    </row>
    <row r="8" spans="1:5" x14ac:dyDescent="0.3">
      <c r="A8" t="s">
        <v>57</v>
      </c>
      <c r="B8">
        <v>0</v>
      </c>
      <c r="C8">
        <v>0</v>
      </c>
      <c r="D8">
        <v>0</v>
      </c>
      <c r="E8" t="s">
        <v>147</v>
      </c>
    </row>
    <row r="9" spans="1:5" x14ac:dyDescent="0.3">
      <c r="A9" t="s">
        <v>58</v>
      </c>
      <c r="B9">
        <v>0</v>
      </c>
      <c r="C9">
        <v>0</v>
      </c>
      <c r="D9">
        <v>0</v>
      </c>
      <c r="E9" t="s">
        <v>147</v>
      </c>
    </row>
    <row r="10" spans="1:5" x14ac:dyDescent="0.3">
      <c r="A10" t="s">
        <v>59</v>
      </c>
      <c r="B10">
        <v>0</v>
      </c>
      <c r="C10">
        <v>0</v>
      </c>
      <c r="D10">
        <v>0</v>
      </c>
      <c r="E10" t="s">
        <v>147</v>
      </c>
    </row>
    <row r="11" spans="1:5" x14ac:dyDescent="0.3">
      <c r="A11" t="s">
        <v>60</v>
      </c>
      <c r="B11">
        <v>0</v>
      </c>
      <c r="C11">
        <v>0</v>
      </c>
      <c r="D11">
        <v>0</v>
      </c>
      <c r="E11" t="s">
        <v>147</v>
      </c>
    </row>
    <row r="12" spans="1:5" x14ac:dyDescent="0.3">
      <c r="A12" t="s">
        <v>61</v>
      </c>
      <c r="B12">
        <v>0</v>
      </c>
      <c r="C12">
        <v>0</v>
      </c>
      <c r="D12">
        <v>0</v>
      </c>
      <c r="E12" t="s">
        <v>147</v>
      </c>
    </row>
    <row r="13" spans="1:5" x14ac:dyDescent="0.3">
      <c r="A13" t="s">
        <v>62</v>
      </c>
      <c r="B13">
        <v>0</v>
      </c>
      <c r="C13">
        <v>0</v>
      </c>
      <c r="D13">
        <v>0</v>
      </c>
      <c r="E13" t="s">
        <v>147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"/>
  <sheetViews>
    <sheetView workbookViewId="0"/>
  </sheetViews>
  <sheetFormatPr defaultRowHeight="14.4" x14ac:dyDescent="0.3"/>
  <sheetData>
    <row r="1" spans="1:5" x14ac:dyDescent="0.3">
      <c r="A1" s="1" t="s">
        <v>154</v>
      </c>
      <c r="B1" s="1" t="s">
        <v>155</v>
      </c>
      <c r="C1" s="1" t="s">
        <v>156</v>
      </c>
      <c r="D1" s="1" t="s">
        <v>145</v>
      </c>
      <c r="E1" s="1" t="s">
        <v>146</v>
      </c>
    </row>
    <row r="2" spans="1:5" x14ac:dyDescent="0.3">
      <c r="A2" t="s">
        <v>157</v>
      </c>
      <c r="B2">
        <v>0</v>
      </c>
      <c r="C2">
        <v>0</v>
      </c>
      <c r="D2">
        <v>0</v>
      </c>
      <c r="E2" t="s">
        <v>147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3"/>
  <sheetViews>
    <sheetView workbookViewId="0"/>
  </sheetViews>
  <sheetFormatPr defaultRowHeight="14.4" x14ac:dyDescent="0.3"/>
  <sheetData>
    <row r="1" spans="1:5" x14ac:dyDescent="0.3">
      <c r="A1" s="1" t="s">
        <v>137</v>
      </c>
      <c r="B1" s="1" t="s">
        <v>158</v>
      </c>
      <c r="C1" s="1" t="s">
        <v>159</v>
      </c>
      <c r="D1" s="1" t="s">
        <v>145</v>
      </c>
      <c r="E1" s="1" t="s">
        <v>146</v>
      </c>
    </row>
    <row r="2" spans="1:5" x14ac:dyDescent="0.3">
      <c r="A2" t="s">
        <v>51</v>
      </c>
      <c r="B2">
        <v>0</v>
      </c>
      <c r="C2">
        <v>0</v>
      </c>
      <c r="D2">
        <v>0</v>
      </c>
      <c r="E2" t="s">
        <v>147</v>
      </c>
    </row>
    <row r="3" spans="1:5" x14ac:dyDescent="0.3">
      <c r="A3" t="s">
        <v>52</v>
      </c>
      <c r="B3">
        <v>0</v>
      </c>
      <c r="C3">
        <v>0</v>
      </c>
      <c r="D3">
        <v>0</v>
      </c>
      <c r="E3" t="s">
        <v>147</v>
      </c>
    </row>
    <row r="4" spans="1:5" x14ac:dyDescent="0.3">
      <c r="A4" t="s">
        <v>53</v>
      </c>
      <c r="B4">
        <v>0</v>
      </c>
      <c r="C4">
        <v>0</v>
      </c>
      <c r="D4">
        <v>0</v>
      </c>
      <c r="E4" t="s">
        <v>147</v>
      </c>
    </row>
    <row r="5" spans="1:5" x14ac:dyDescent="0.3">
      <c r="A5" t="s">
        <v>54</v>
      </c>
      <c r="B5">
        <v>0</v>
      </c>
      <c r="C5">
        <v>0</v>
      </c>
      <c r="D5">
        <v>0</v>
      </c>
      <c r="E5" t="s">
        <v>147</v>
      </c>
    </row>
    <row r="6" spans="1:5" x14ac:dyDescent="0.3">
      <c r="A6" t="s">
        <v>55</v>
      </c>
      <c r="B6">
        <v>0</v>
      </c>
      <c r="C6">
        <v>0</v>
      </c>
      <c r="D6">
        <v>0</v>
      </c>
      <c r="E6" t="s">
        <v>147</v>
      </c>
    </row>
    <row r="7" spans="1:5" x14ac:dyDescent="0.3">
      <c r="A7" t="s">
        <v>56</v>
      </c>
      <c r="B7">
        <v>0</v>
      </c>
      <c r="C7">
        <v>0</v>
      </c>
      <c r="D7">
        <v>0</v>
      </c>
      <c r="E7" t="s">
        <v>147</v>
      </c>
    </row>
    <row r="8" spans="1:5" x14ac:dyDescent="0.3">
      <c r="A8" t="s">
        <v>57</v>
      </c>
      <c r="B8">
        <v>0</v>
      </c>
      <c r="C8">
        <v>0</v>
      </c>
      <c r="D8">
        <v>0</v>
      </c>
      <c r="E8" t="s">
        <v>147</v>
      </c>
    </row>
    <row r="9" spans="1:5" x14ac:dyDescent="0.3">
      <c r="A9" t="s">
        <v>58</v>
      </c>
      <c r="B9">
        <v>0</v>
      </c>
      <c r="C9">
        <v>0</v>
      </c>
      <c r="D9">
        <v>0</v>
      </c>
      <c r="E9" t="s">
        <v>147</v>
      </c>
    </row>
    <row r="10" spans="1:5" x14ac:dyDescent="0.3">
      <c r="A10" t="s">
        <v>59</v>
      </c>
      <c r="B10">
        <v>0</v>
      </c>
      <c r="C10">
        <v>0</v>
      </c>
      <c r="D10">
        <v>0</v>
      </c>
      <c r="E10" t="s">
        <v>147</v>
      </c>
    </row>
    <row r="11" spans="1:5" x14ac:dyDescent="0.3">
      <c r="A11" t="s">
        <v>60</v>
      </c>
      <c r="B11">
        <v>0</v>
      </c>
      <c r="C11">
        <v>0</v>
      </c>
      <c r="D11">
        <v>0</v>
      </c>
      <c r="E11" t="s">
        <v>147</v>
      </c>
    </row>
    <row r="12" spans="1:5" x14ac:dyDescent="0.3">
      <c r="A12" t="s">
        <v>61</v>
      </c>
      <c r="B12">
        <v>0</v>
      </c>
      <c r="C12">
        <v>0</v>
      </c>
      <c r="D12">
        <v>0</v>
      </c>
      <c r="E12" t="s">
        <v>147</v>
      </c>
    </row>
    <row r="13" spans="1:5" x14ac:dyDescent="0.3">
      <c r="A13" t="s">
        <v>62</v>
      </c>
      <c r="B13">
        <v>0</v>
      </c>
      <c r="C13">
        <v>0</v>
      </c>
      <c r="D13">
        <v>0</v>
      </c>
      <c r="E13" t="s">
        <v>147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workbookViewId="0"/>
  </sheetViews>
  <sheetFormatPr defaultRowHeight="14.4" x14ac:dyDescent="0.3"/>
  <sheetData>
    <row r="1" spans="1:5" x14ac:dyDescent="0.3">
      <c r="A1" s="1" t="s">
        <v>137</v>
      </c>
      <c r="B1" s="1" t="s">
        <v>160</v>
      </c>
      <c r="C1" s="1" t="s">
        <v>161</v>
      </c>
      <c r="D1" s="1" t="s">
        <v>145</v>
      </c>
      <c r="E1" s="1" t="s">
        <v>146</v>
      </c>
    </row>
    <row r="2" spans="1:5" x14ac:dyDescent="0.3">
      <c r="A2" t="s">
        <v>51</v>
      </c>
      <c r="B2">
        <v>0</v>
      </c>
      <c r="C2">
        <v>0</v>
      </c>
      <c r="D2">
        <v>0</v>
      </c>
      <c r="E2" t="s">
        <v>147</v>
      </c>
    </row>
    <row r="3" spans="1:5" x14ac:dyDescent="0.3">
      <c r="A3" t="s">
        <v>52</v>
      </c>
      <c r="B3">
        <v>0</v>
      </c>
      <c r="C3">
        <v>0</v>
      </c>
      <c r="D3">
        <v>0</v>
      </c>
      <c r="E3" t="s">
        <v>147</v>
      </c>
    </row>
    <row r="4" spans="1:5" x14ac:dyDescent="0.3">
      <c r="A4" t="s">
        <v>53</v>
      </c>
      <c r="B4">
        <v>0</v>
      </c>
      <c r="C4">
        <v>0</v>
      </c>
      <c r="D4">
        <v>0</v>
      </c>
      <c r="E4" t="s">
        <v>147</v>
      </c>
    </row>
    <row r="5" spans="1:5" x14ac:dyDescent="0.3">
      <c r="A5" t="s">
        <v>54</v>
      </c>
      <c r="B5">
        <v>0</v>
      </c>
      <c r="C5">
        <v>0</v>
      </c>
      <c r="D5">
        <v>0</v>
      </c>
      <c r="E5" t="s">
        <v>147</v>
      </c>
    </row>
    <row r="6" spans="1:5" x14ac:dyDescent="0.3">
      <c r="A6" t="s">
        <v>55</v>
      </c>
      <c r="B6">
        <v>0</v>
      </c>
      <c r="C6">
        <v>0</v>
      </c>
      <c r="D6">
        <v>0</v>
      </c>
      <c r="E6" t="s">
        <v>147</v>
      </c>
    </row>
    <row r="7" spans="1:5" x14ac:dyDescent="0.3">
      <c r="A7" t="s">
        <v>56</v>
      </c>
      <c r="B7">
        <v>0</v>
      </c>
      <c r="C7">
        <v>0</v>
      </c>
      <c r="D7">
        <v>0</v>
      </c>
      <c r="E7" t="s">
        <v>147</v>
      </c>
    </row>
    <row r="8" spans="1:5" x14ac:dyDescent="0.3">
      <c r="A8" t="s">
        <v>57</v>
      </c>
      <c r="B8">
        <v>0</v>
      </c>
      <c r="C8">
        <v>0</v>
      </c>
      <c r="D8">
        <v>0</v>
      </c>
      <c r="E8" t="s">
        <v>147</v>
      </c>
    </row>
    <row r="9" spans="1:5" x14ac:dyDescent="0.3">
      <c r="A9" t="s">
        <v>58</v>
      </c>
      <c r="B9">
        <v>0</v>
      </c>
      <c r="C9">
        <v>0</v>
      </c>
      <c r="D9">
        <v>0</v>
      </c>
      <c r="E9" t="s">
        <v>147</v>
      </c>
    </row>
    <row r="10" spans="1:5" x14ac:dyDescent="0.3">
      <c r="A10" t="s">
        <v>59</v>
      </c>
      <c r="B10">
        <v>0</v>
      </c>
      <c r="C10">
        <v>0</v>
      </c>
      <c r="D10">
        <v>0</v>
      </c>
      <c r="E10" t="s">
        <v>147</v>
      </c>
    </row>
    <row r="11" spans="1:5" x14ac:dyDescent="0.3">
      <c r="A11" t="s">
        <v>60</v>
      </c>
      <c r="B11">
        <v>0</v>
      </c>
      <c r="C11">
        <v>0</v>
      </c>
      <c r="D11">
        <v>0</v>
      </c>
      <c r="E11" t="s">
        <v>147</v>
      </c>
    </row>
    <row r="12" spans="1:5" x14ac:dyDescent="0.3">
      <c r="A12" t="s">
        <v>61</v>
      </c>
      <c r="B12">
        <v>0</v>
      </c>
      <c r="C12">
        <v>0</v>
      </c>
      <c r="D12">
        <v>0</v>
      </c>
      <c r="E12" t="s">
        <v>147</v>
      </c>
    </row>
    <row r="13" spans="1:5" x14ac:dyDescent="0.3">
      <c r="A13" t="s">
        <v>62</v>
      </c>
      <c r="B13">
        <v>0</v>
      </c>
      <c r="C13">
        <v>0</v>
      </c>
      <c r="D13">
        <v>0</v>
      </c>
      <c r="E13" t="s">
        <v>147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3"/>
  <sheetViews>
    <sheetView workbookViewId="0"/>
  </sheetViews>
  <sheetFormatPr defaultRowHeight="14.4" x14ac:dyDescent="0.3"/>
  <sheetData>
    <row r="1" spans="1:5" x14ac:dyDescent="0.3">
      <c r="A1" s="1" t="s">
        <v>137</v>
      </c>
      <c r="B1" s="1" t="s">
        <v>162</v>
      </c>
      <c r="C1" s="1" t="s">
        <v>163</v>
      </c>
      <c r="D1" s="1" t="s">
        <v>145</v>
      </c>
      <c r="E1" s="1" t="s">
        <v>146</v>
      </c>
    </row>
    <row r="2" spans="1:5" x14ac:dyDescent="0.3">
      <c r="A2" t="s">
        <v>51</v>
      </c>
      <c r="B2">
        <v>0</v>
      </c>
      <c r="C2">
        <v>0</v>
      </c>
      <c r="D2">
        <v>0</v>
      </c>
      <c r="E2" t="s">
        <v>147</v>
      </c>
    </row>
    <row r="3" spans="1:5" x14ac:dyDescent="0.3">
      <c r="A3" t="s">
        <v>52</v>
      </c>
      <c r="B3">
        <v>0</v>
      </c>
      <c r="C3">
        <v>0</v>
      </c>
      <c r="D3">
        <v>0</v>
      </c>
      <c r="E3" t="s">
        <v>147</v>
      </c>
    </row>
    <row r="4" spans="1:5" x14ac:dyDescent="0.3">
      <c r="A4" t="s">
        <v>53</v>
      </c>
      <c r="B4">
        <v>0</v>
      </c>
      <c r="C4">
        <v>0</v>
      </c>
      <c r="D4">
        <v>0</v>
      </c>
      <c r="E4" t="s">
        <v>147</v>
      </c>
    </row>
    <row r="5" spans="1:5" x14ac:dyDescent="0.3">
      <c r="A5" t="s">
        <v>54</v>
      </c>
      <c r="B5">
        <v>0</v>
      </c>
      <c r="C5">
        <v>0</v>
      </c>
      <c r="D5">
        <v>0</v>
      </c>
      <c r="E5" t="s">
        <v>147</v>
      </c>
    </row>
    <row r="6" spans="1:5" x14ac:dyDescent="0.3">
      <c r="A6" t="s">
        <v>55</v>
      </c>
      <c r="B6">
        <v>0</v>
      </c>
      <c r="C6">
        <v>0</v>
      </c>
      <c r="D6">
        <v>0</v>
      </c>
      <c r="E6" t="s">
        <v>147</v>
      </c>
    </row>
    <row r="7" spans="1:5" x14ac:dyDescent="0.3">
      <c r="A7" t="s">
        <v>56</v>
      </c>
      <c r="B7">
        <v>0</v>
      </c>
      <c r="C7">
        <v>0</v>
      </c>
      <c r="D7">
        <v>0</v>
      </c>
      <c r="E7" t="s">
        <v>147</v>
      </c>
    </row>
    <row r="8" spans="1:5" x14ac:dyDescent="0.3">
      <c r="A8" t="s">
        <v>57</v>
      </c>
      <c r="B8">
        <v>0</v>
      </c>
      <c r="C8">
        <v>0</v>
      </c>
      <c r="D8">
        <v>0</v>
      </c>
      <c r="E8" t="s">
        <v>147</v>
      </c>
    </row>
    <row r="9" spans="1:5" x14ac:dyDescent="0.3">
      <c r="A9" t="s">
        <v>58</v>
      </c>
      <c r="B9">
        <v>0</v>
      </c>
      <c r="C9">
        <v>0</v>
      </c>
      <c r="D9">
        <v>0</v>
      </c>
      <c r="E9" t="s">
        <v>147</v>
      </c>
    </row>
    <row r="10" spans="1:5" x14ac:dyDescent="0.3">
      <c r="A10" t="s">
        <v>59</v>
      </c>
      <c r="B10">
        <v>0</v>
      </c>
      <c r="C10">
        <v>0</v>
      </c>
      <c r="D10">
        <v>0</v>
      </c>
      <c r="E10" t="s">
        <v>147</v>
      </c>
    </row>
    <row r="11" spans="1:5" x14ac:dyDescent="0.3">
      <c r="A11" t="s">
        <v>60</v>
      </c>
      <c r="B11">
        <v>0</v>
      </c>
      <c r="C11">
        <v>0</v>
      </c>
      <c r="D11">
        <v>0</v>
      </c>
      <c r="E11" t="s">
        <v>147</v>
      </c>
    </row>
    <row r="12" spans="1:5" x14ac:dyDescent="0.3">
      <c r="A12" t="s">
        <v>61</v>
      </c>
      <c r="B12">
        <v>0</v>
      </c>
      <c r="C12">
        <v>0</v>
      </c>
      <c r="D12">
        <v>0</v>
      </c>
      <c r="E12" t="s">
        <v>147</v>
      </c>
    </row>
    <row r="13" spans="1:5" x14ac:dyDescent="0.3">
      <c r="A13" t="s">
        <v>62</v>
      </c>
      <c r="B13">
        <v>0</v>
      </c>
      <c r="C13">
        <v>0</v>
      </c>
      <c r="D13">
        <v>0</v>
      </c>
      <c r="E13" t="s">
        <v>147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3"/>
  <sheetViews>
    <sheetView workbookViewId="0"/>
  </sheetViews>
  <sheetFormatPr defaultRowHeight="14.4" x14ac:dyDescent="0.3"/>
  <sheetData>
    <row r="1" spans="1:5" x14ac:dyDescent="0.3">
      <c r="A1" s="1" t="s">
        <v>137</v>
      </c>
      <c r="B1" s="1" t="s">
        <v>164</v>
      </c>
      <c r="C1" s="1" t="s">
        <v>165</v>
      </c>
      <c r="D1" s="1" t="s">
        <v>166</v>
      </c>
      <c r="E1" s="1" t="s">
        <v>146</v>
      </c>
    </row>
    <row r="2" spans="1:5" x14ac:dyDescent="0.3">
      <c r="A2" t="s">
        <v>51</v>
      </c>
      <c r="B2">
        <v>0</v>
      </c>
      <c r="C2">
        <v>0</v>
      </c>
      <c r="D2">
        <v>0</v>
      </c>
      <c r="E2" t="s">
        <v>142</v>
      </c>
    </row>
    <row r="3" spans="1:5" x14ac:dyDescent="0.3">
      <c r="A3" t="s">
        <v>52</v>
      </c>
      <c r="B3">
        <v>0</v>
      </c>
      <c r="C3">
        <v>0</v>
      </c>
      <c r="D3">
        <v>0</v>
      </c>
      <c r="E3" t="s">
        <v>142</v>
      </c>
    </row>
    <row r="4" spans="1:5" x14ac:dyDescent="0.3">
      <c r="A4" t="s">
        <v>53</v>
      </c>
      <c r="B4">
        <v>0</v>
      </c>
      <c r="C4">
        <v>0</v>
      </c>
      <c r="D4">
        <v>0</v>
      </c>
      <c r="E4" t="s">
        <v>142</v>
      </c>
    </row>
    <row r="5" spans="1:5" x14ac:dyDescent="0.3">
      <c r="A5" t="s">
        <v>54</v>
      </c>
      <c r="B5">
        <v>0</v>
      </c>
      <c r="C5">
        <v>0</v>
      </c>
      <c r="D5">
        <v>0</v>
      </c>
      <c r="E5" t="s">
        <v>142</v>
      </c>
    </row>
    <row r="6" spans="1:5" x14ac:dyDescent="0.3">
      <c r="A6" t="s">
        <v>55</v>
      </c>
      <c r="B6">
        <v>0</v>
      </c>
      <c r="C6">
        <v>0</v>
      </c>
      <c r="D6">
        <v>0</v>
      </c>
      <c r="E6" t="s">
        <v>142</v>
      </c>
    </row>
    <row r="7" spans="1:5" x14ac:dyDescent="0.3">
      <c r="A7" t="s">
        <v>56</v>
      </c>
      <c r="B7">
        <v>0</v>
      </c>
      <c r="C7">
        <v>0</v>
      </c>
      <c r="D7">
        <v>0</v>
      </c>
      <c r="E7" t="s">
        <v>142</v>
      </c>
    </row>
    <row r="8" spans="1:5" x14ac:dyDescent="0.3">
      <c r="A8" t="s">
        <v>57</v>
      </c>
      <c r="B8">
        <v>0</v>
      </c>
      <c r="C8">
        <v>0</v>
      </c>
      <c r="D8">
        <v>0</v>
      </c>
      <c r="E8" t="s">
        <v>142</v>
      </c>
    </row>
    <row r="9" spans="1:5" x14ac:dyDescent="0.3">
      <c r="A9" t="s">
        <v>58</v>
      </c>
      <c r="B9">
        <v>0</v>
      </c>
      <c r="C9">
        <v>0</v>
      </c>
      <c r="D9">
        <v>0</v>
      </c>
      <c r="E9" t="s">
        <v>142</v>
      </c>
    </row>
    <row r="10" spans="1:5" x14ac:dyDescent="0.3">
      <c r="A10" t="s">
        <v>59</v>
      </c>
      <c r="B10">
        <v>1</v>
      </c>
      <c r="C10">
        <v>0</v>
      </c>
      <c r="D10">
        <v>0</v>
      </c>
      <c r="E10" t="s">
        <v>142</v>
      </c>
    </row>
    <row r="11" spans="1:5" x14ac:dyDescent="0.3">
      <c r="A11" t="s">
        <v>60</v>
      </c>
      <c r="B11">
        <v>0</v>
      </c>
      <c r="C11">
        <v>0</v>
      </c>
      <c r="D11">
        <v>0</v>
      </c>
      <c r="E11" t="s">
        <v>142</v>
      </c>
    </row>
    <row r="12" spans="1:5" x14ac:dyDescent="0.3">
      <c r="A12" t="s">
        <v>61</v>
      </c>
      <c r="B12">
        <v>0</v>
      </c>
      <c r="C12">
        <v>0</v>
      </c>
      <c r="D12">
        <v>0</v>
      </c>
      <c r="E12" t="s">
        <v>142</v>
      </c>
    </row>
    <row r="13" spans="1:5" x14ac:dyDescent="0.3">
      <c r="A13" t="s">
        <v>62</v>
      </c>
      <c r="B13">
        <v>0</v>
      </c>
      <c r="C13">
        <v>0</v>
      </c>
      <c r="D13">
        <v>0</v>
      </c>
      <c r="E13" t="s">
        <v>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GSTR-1 Summary (12M)</vt:lpstr>
      <vt:lpstr>GSTR-2B Summary (12M)</vt:lpstr>
      <vt:lpstr>GSTR-3B Summary (12M)</vt:lpstr>
      <vt:lpstr>Summary_GSTR 9_2024-25</vt:lpstr>
      <vt:lpstr>Summary_GSTR 9_2023-24</vt:lpstr>
      <vt:lpstr>1. ITC Supplier Recon</vt:lpstr>
      <vt:lpstr>2. ITC Reclaim Audit</vt:lpstr>
      <vt:lpstr>3. RCM ITC vs Liability</vt:lpstr>
      <vt:lpstr>4. RCM Historical Trail</vt:lpstr>
      <vt:lpstr>5. Negative ITC Discharge</vt:lpstr>
      <vt:lpstr>6. Annual Liability Discharge</vt:lpstr>
      <vt:lpstr>7. B2C Credit Notes Audit</vt:lpstr>
      <vt:lpstr>8. Unregistered Remittance</vt:lpstr>
      <vt:lpstr>9. E-Way Bill vs Liability</vt:lpstr>
      <vt:lpstr>10. Delayed Interest Audit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raj ps</cp:lastModifiedBy>
  <dcterms:created xsi:type="dcterms:W3CDTF">2026-10-18T11:02:46Z</dcterms:created>
  <dcterms:modified xsi:type="dcterms:W3CDTF">2026-10-20T05:42:39Z</dcterms:modified>
</cp:coreProperties>
</file>